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16704\Downloads\"/>
    </mc:Choice>
  </mc:AlternateContent>
  <xr:revisionPtr revIDLastSave="0" documentId="13_ncr:1_{ABB3C444-606D-4AF5-B879-0BEBF4772513}" xr6:coauthVersionLast="47" xr6:coauthVersionMax="47" xr10:uidLastSave="{00000000-0000-0000-0000-000000000000}"/>
  <bookViews>
    <workbookView xWindow="-120" yWindow="-120" windowWidth="29040" windowHeight="15720" xr2:uid="{3AA4EB4A-AB2B-4A87-98AC-01E0FC006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05" i="1" l="1"/>
  <c r="J505" i="1"/>
  <c r="M505" i="1" s="1"/>
  <c r="O505" i="1" s="1"/>
  <c r="P505" i="1" s="1"/>
  <c r="G505" i="1"/>
  <c r="L504" i="1"/>
  <c r="J504" i="1"/>
  <c r="M504" i="1" s="1"/>
  <c r="O504" i="1" s="1"/>
  <c r="P504" i="1" s="1"/>
  <c r="G504" i="1"/>
  <c r="L503" i="1"/>
  <c r="M503" i="1" s="1"/>
  <c r="O503" i="1" s="1"/>
  <c r="P503" i="1" s="1"/>
  <c r="J503" i="1"/>
  <c r="G503" i="1"/>
  <c r="L502" i="1"/>
  <c r="J502" i="1"/>
  <c r="M502" i="1" s="1"/>
  <c r="O502" i="1" s="1"/>
  <c r="P502" i="1" s="1"/>
  <c r="G502" i="1"/>
  <c r="L501" i="1"/>
  <c r="J501" i="1"/>
  <c r="M501" i="1" s="1"/>
  <c r="O501" i="1" s="1"/>
  <c r="P501" i="1" s="1"/>
  <c r="G501" i="1"/>
  <c r="O500" i="1"/>
  <c r="P500" i="1" s="1"/>
  <c r="M500" i="1"/>
  <c r="L500" i="1"/>
  <c r="J500" i="1"/>
  <c r="G500" i="1"/>
  <c r="L499" i="1"/>
  <c r="J499" i="1"/>
  <c r="M499" i="1" s="1"/>
  <c r="O499" i="1" s="1"/>
  <c r="P499" i="1" s="1"/>
  <c r="G499" i="1"/>
  <c r="L498" i="1"/>
  <c r="J498" i="1"/>
  <c r="M498" i="1" s="1"/>
  <c r="O498" i="1" s="1"/>
  <c r="P498" i="1" s="1"/>
  <c r="G498" i="1"/>
  <c r="L497" i="1"/>
  <c r="J497" i="1"/>
  <c r="M497" i="1" s="1"/>
  <c r="O497" i="1" s="1"/>
  <c r="P497" i="1" s="1"/>
  <c r="G497" i="1"/>
  <c r="L496" i="1"/>
  <c r="J496" i="1"/>
  <c r="M496" i="1" s="1"/>
  <c r="O496" i="1" s="1"/>
  <c r="P496" i="1" s="1"/>
  <c r="G496" i="1"/>
  <c r="L495" i="1"/>
  <c r="M495" i="1" s="1"/>
  <c r="O495" i="1" s="1"/>
  <c r="P495" i="1" s="1"/>
  <c r="J495" i="1"/>
  <c r="G495" i="1"/>
  <c r="L494" i="1"/>
  <c r="J494" i="1"/>
  <c r="M494" i="1" s="1"/>
  <c r="O494" i="1" s="1"/>
  <c r="P494" i="1" s="1"/>
  <c r="G494" i="1"/>
  <c r="L493" i="1"/>
  <c r="J493" i="1"/>
  <c r="M493" i="1" s="1"/>
  <c r="O493" i="1" s="1"/>
  <c r="P493" i="1" s="1"/>
  <c r="G493" i="1"/>
  <c r="O492" i="1"/>
  <c r="P492" i="1" s="1"/>
  <c r="M492" i="1"/>
  <c r="L492" i="1"/>
  <c r="J492" i="1"/>
  <c r="G492" i="1"/>
  <c r="L491" i="1"/>
  <c r="J491" i="1"/>
  <c r="M491" i="1" s="1"/>
  <c r="O491" i="1" s="1"/>
  <c r="P491" i="1" s="1"/>
  <c r="G491" i="1"/>
  <c r="L490" i="1"/>
  <c r="J490" i="1"/>
  <c r="M490" i="1" s="1"/>
  <c r="O490" i="1" s="1"/>
  <c r="P490" i="1" s="1"/>
  <c r="G490" i="1"/>
  <c r="L489" i="1"/>
  <c r="J489" i="1"/>
  <c r="M489" i="1" s="1"/>
  <c r="O489" i="1" s="1"/>
  <c r="P489" i="1" s="1"/>
  <c r="G489" i="1"/>
  <c r="L488" i="1"/>
  <c r="J488" i="1"/>
  <c r="M488" i="1" s="1"/>
  <c r="O488" i="1" s="1"/>
  <c r="P488" i="1" s="1"/>
  <c r="G488" i="1"/>
  <c r="L487" i="1"/>
  <c r="M487" i="1" s="1"/>
  <c r="O487" i="1" s="1"/>
  <c r="P487" i="1" s="1"/>
  <c r="J487" i="1"/>
  <c r="G487" i="1"/>
  <c r="L486" i="1"/>
  <c r="J486" i="1"/>
  <c r="M486" i="1" s="1"/>
  <c r="O486" i="1" s="1"/>
  <c r="P486" i="1" s="1"/>
  <c r="G486" i="1"/>
  <c r="L485" i="1"/>
  <c r="J485" i="1"/>
  <c r="M485" i="1" s="1"/>
  <c r="O485" i="1" s="1"/>
  <c r="P485" i="1" s="1"/>
  <c r="G485" i="1"/>
  <c r="O484" i="1"/>
  <c r="P484" i="1" s="1"/>
  <c r="M484" i="1"/>
  <c r="L484" i="1"/>
  <c r="J484" i="1"/>
  <c r="G484" i="1"/>
  <c r="L483" i="1"/>
  <c r="J483" i="1"/>
  <c r="M483" i="1" s="1"/>
  <c r="O483" i="1" s="1"/>
  <c r="P483" i="1" s="1"/>
  <c r="G483" i="1"/>
  <c r="L482" i="1"/>
  <c r="J482" i="1"/>
  <c r="M482" i="1" s="1"/>
  <c r="O482" i="1" s="1"/>
  <c r="P482" i="1" s="1"/>
  <c r="G482" i="1"/>
  <c r="L481" i="1"/>
  <c r="J481" i="1"/>
  <c r="M481" i="1" s="1"/>
  <c r="O481" i="1" s="1"/>
  <c r="P481" i="1" s="1"/>
  <c r="G481" i="1"/>
  <c r="L480" i="1"/>
  <c r="J480" i="1"/>
  <c r="M480" i="1" s="1"/>
  <c r="O480" i="1" s="1"/>
  <c r="P480" i="1" s="1"/>
  <c r="G480" i="1"/>
  <c r="L479" i="1"/>
  <c r="M479" i="1" s="1"/>
  <c r="O479" i="1" s="1"/>
  <c r="P479" i="1" s="1"/>
  <c r="J479" i="1"/>
  <c r="G479" i="1"/>
  <c r="L478" i="1"/>
  <c r="J478" i="1"/>
  <c r="M478" i="1" s="1"/>
  <c r="O478" i="1" s="1"/>
  <c r="P478" i="1" s="1"/>
  <c r="G478" i="1"/>
  <c r="L477" i="1"/>
  <c r="J477" i="1"/>
  <c r="M477" i="1" s="1"/>
  <c r="O477" i="1" s="1"/>
  <c r="P477" i="1" s="1"/>
  <c r="G477" i="1"/>
  <c r="O476" i="1"/>
  <c r="P476" i="1" s="1"/>
  <c r="M476" i="1"/>
  <c r="L476" i="1"/>
  <c r="J476" i="1"/>
  <c r="G476" i="1"/>
  <c r="L475" i="1"/>
  <c r="J475" i="1"/>
  <c r="M475" i="1" s="1"/>
  <c r="O475" i="1" s="1"/>
  <c r="P475" i="1" s="1"/>
  <c r="G475" i="1"/>
  <c r="L474" i="1"/>
  <c r="J474" i="1"/>
  <c r="M474" i="1" s="1"/>
  <c r="O474" i="1" s="1"/>
  <c r="P474" i="1" s="1"/>
  <c r="G474" i="1"/>
  <c r="L473" i="1"/>
  <c r="J473" i="1"/>
  <c r="M473" i="1" s="1"/>
  <c r="O473" i="1" s="1"/>
  <c r="P473" i="1" s="1"/>
  <c r="G473" i="1"/>
  <c r="L472" i="1"/>
  <c r="J472" i="1"/>
  <c r="M472" i="1" s="1"/>
  <c r="O472" i="1" s="1"/>
  <c r="P472" i="1" s="1"/>
  <c r="G472" i="1"/>
  <c r="L471" i="1"/>
  <c r="M471" i="1" s="1"/>
  <c r="O471" i="1" s="1"/>
  <c r="P471" i="1" s="1"/>
  <c r="J471" i="1"/>
  <c r="G471" i="1"/>
  <c r="L470" i="1"/>
  <c r="J470" i="1"/>
  <c r="M470" i="1" s="1"/>
  <c r="O470" i="1" s="1"/>
  <c r="P470" i="1" s="1"/>
  <c r="G470" i="1"/>
  <c r="L469" i="1"/>
  <c r="J469" i="1"/>
  <c r="M469" i="1" s="1"/>
  <c r="O469" i="1" s="1"/>
  <c r="P469" i="1" s="1"/>
  <c r="G469" i="1"/>
  <c r="L468" i="1"/>
  <c r="J468" i="1"/>
  <c r="M468" i="1" s="1"/>
  <c r="O468" i="1" s="1"/>
  <c r="P468" i="1" s="1"/>
  <c r="G468" i="1"/>
  <c r="L467" i="1"/>
  <c r="J467" i="1"/>
  <c r="M467" i="1" s="1"/>
  <c r="O467" i="1" s="1"/>
  <c r="P467" i="1" s="1"/>
  <c r="G467" i="1"/>
  <c r="L466" i="1"/>
  <c r="J466" i="1"/>
  <c r="M466" i="1" s="1"/>
  <c r="O466" i="1" s="1"/>
  <c r="P466" i="1" s="1"/>
  <c r="G466" i="1"/>
  <c r="M465" i="1"/>
  <c r="O465" i="1" s="1"/>
  <c r="P465" i="1" s="1"/>
  <c r="L465" i="1"/>
  <c r="J465" i="1"/>
  <c r="G465" i="1"/>
  <c r="L464" i="1"/>
  <c r="J464" i="1"/>
  <c r="M464" i="1" s="1"/>
  <c r="O464" i="1" s="1"/>
  <c r="P464" i="1" s="1"/>
  <c r="G464" i="1"/>
  <c r="L463" i="1"/>
  <c r="M463" i="1" s="1"/>
  <c r="O463" i="1" s="1"/>
  <c r="P463" i="1" s="1"/>
  <c r="J463" i="1"/>
  <c r="G463" i="1"/>
  <c r="L462" i="1"/>
  <c r="J462" i="1"/>
  <c r="M462" i="1" s="1"/>
  <c r="O462" i="1" s="1"/>
  <c r="P462" i="1" s="1"/>
  <c r="G462" i="1"/>
  <c r="L461" i="1"/>
  <c r="J461" i="1"/>
  <c r="M461" i="1" s="1"/>
  <c r="O461" i="1" s="1"/>
  <c r="P461" i="1" s="1"/>
  <c r="G461" i="1"/>
  <c r="L460" i="1"/>
  <c r="J460" i="1"/>
  <c r="M460" i="1" s="1"/>
  <c r="O460" i="1" s="1"/>
  <c r="P460" i="1" s="1"/>
  <c r="G460" i="1"/>
  <c r="L459" i="1"/>
  <c r="J459" i="1"/>
  <c r="M459" i="1" s="1"/>
  <c r="O459" i="1" s="1"/>
  <c r="P459" i="1" s="1"/>
  <c r="G459" i="1"/>
  <c r="L458" i="1"/>
  <c r="J458" i="1"/>
  <c r="M458" i="1" s="1"/>
  <c r="O458" i="1" s="1"/>
  <c r="P458" i="1" s="1"/>
  <c r="G458" i="1"/>
  <c r="M457" i="1"/>
  <c r="O457" i="1" s="1"/>
  <c r="P457" i="1" s="1"/>
  <c r="L457" i="1"/>
  <c r="J457" i="1"/>
  <c r="G457" i="1"/>
  <c r="L456" i="1"/>
  <c r="J456" i="1"/>
  <c r="M456" i="1" s="1"/>
  <c r="O456" i="1" s="1"/>
  <c r="P456" i="1" s="1"/>
  <c r="G456" i="1"/>
  <c r="L455" i="1"/>
  <c r="M455" i="1" s="1"/>
  <c r="O455" i="1" s="1"/>
  <c r="P455" i="1" s="1"/>
  <c r="J455" i="1"/>
  <c r="G455" i="1"/>
  <c r="L454" i="1"/>
  <c r="J454" i="1"/>
  <c r="M454" i="1" s="1"/>
  <c r="O454" i="1" s="1"/>
  <c r="P454" i="1" s="1"/>
  <c r="G454" i="1"/>
  <c r="L453" i="1"/>
  <c r="J453" i="1"/>
  <c r="M453" i="1" s="1"/>
  <c r="O453" i="1" s="1"/>
  <c r="P453" i="1" s="1"/>
  <c r="G453" i="1"/>
  <c r="L452" i="1"/>
  <c r="J452" i="1"/>
  <c r="M452" i="1" s="1"/>
  <c r="O452" i="1" s="1"/>
  <c r="P452" i="1" s="1"/>
  <c r="G452" i="1"/>
  <c r="L451" i="1"/>
  <c r="J451" i="1"/>
  <c r="M451" i="1" s="1"/>
  <c r="O451" i="1" s="1"/>
  <c r="P451" i="1" s="1"/>
  <c r="G451" i="1"/>
  <c r="L450" i="1"/>
  <c r="J450" i="1"/>
  <c r="M450" i="1" s="1"/>
  <c r="O450" i="1" s="1"/>
  <c r="P450" i="1" s="1"/>
  <c r="G450" i="1"/>
  <c r="L449" i="1"/>
  <c r="M449" i="1" s="1"/>
  <c r="O449" i="1" s="1"/>
  <c r="P449" i="1" s="1"/>
  <c r="J449" i="1"/>
  <c r="G449" i="1"/>
  <c r="L448" i="1"/>
  <c r="J448" i="1"/>
  <c r="M448" i="1" s="1"/>
  <c r="O448" i="1" s="1"/>
  <c r="P448" i="1" s="1"/>
  <c r="G448" i="1"/>
  <c r="L447" i="1"/>
  <c r="M447" i="1" s="1"/>
  <c r="O447" i="1" s="1"/>
  <c r="P447" i="1" s="1"/>
  <c r="J447" i="1"/>
  <c r="G447" i="1"/>
  <c r="L446" i="1"/>
  <c r="J446" i="1"/>
  <c r="M446" i="1" s="1"/>
  <c r="O446" i="1" s="1"/>
  <c r="P446" i="1" s="1"/>
  <c r="G446" i="1"/>
  <c r="L445" i="1"/>
  <c r="J445" i="1"/>
  <c r="M445" i="1" s="1"/>
  <c r="O445" i="1" s="1"/>
  <c r="P445" i="1" s="1"/>
  <c r="G445" i="1"/>
  <c r="L444" i="1"/>
  <c r="J444" i="1"/>
  <c r="M444" i="1" s="1"/>
  <c r="O444" i="1" s="1"/>
  <c r="P444" i="1" s="1"/>
  <c r="G444" i="1"/>
  <c r="L443" i="1"/>
  <c r="J443" i="1"/>
  <c r="M443" i="1" s="1"/>
  <c r="O443" i="1" s="1"/>
  <c r="P443" i="1" s="1"/>
  <c r="G443" i="1"/>
  <c r="L442" i="1"/>
  <c r="J442" i="1"/>
  <c r="M442" i="1" s="1"/>
  <c r="O442" i="1" s="1"/>
  <c r="P442" i="1" s="1"/>
  <c r="G442" i="1"/>
  <c r="L441" i="1"/>
  <c r="M441" i="1" s="1"/>
  <c r="O441" i="1" s="1"/>
  <c r="P441" i="1" s="1"/>
  <c r="J441" i="1"/>
  <c r="G441" i="1"/>
  <c r="L440" i="1"/>
  <c r="J440" i="1"/>
  <c r="M440" i="1" s="1"/>
  <c r="O440" i="1" s="1"/>
  <c r="P440" i="1" s="1"/>
  <c r="G440" i="1"/>
  <c r="L439" i="1"/>
  <c r="M439" i="1" s="1"/>
  <c r="O439" i="1" s="1"/>
  <c r="P439" i="1" s="1"/>
  <c r="J439" i="1"/>
  <c r="G439" i="1"/>
  <c r="L438" i="1"/>
  <c r="J438" i="1"/>
  <c r="M438" i="1" s="1"/>
  <c r="O438" i="1" s="1"/>
  <c r="P438" i="1" s="1"/>
  <c r="G438" i="1"/>
  <c r="L437" i="1"/>
  <c r="J437" i="1"/>
  <c r="M437" i="1" s="1"/>
  <c r="O437" i="1" s="1"/>
  <c r="P437" i="1" s="1"/>
  <c r="G437" i="1"/>
  <c r="L436" i="1"/>
  <c r="M436" i="1" s="1"/>
  <c r="O436" i="1" s="1"/>
  <c r="P436" i="1" s="1"/>
  <c r="J436" i="1"/>
  <c r="G436" i="1"/>
  <c r="M435" i="1"/>
  <c r="L435" i="1"/>
  <c r="J435" i="1"/>
  <c r="G435" i="1"/>
  <c r="L434" i="1"/>
  <c r="M434" i="1" s="1"/>
  <c r="J434" i="1"/>
  <c r="G434" i="1"/>
  <c r="L433" i="1"/>
  <c r="J433" i="1"/>
  <c r="M433" i="1" s="1"/>
  <c r="G433" i="1"/>
  <c r="L432" i="1"/>
  <c r="J432" i="1"/>
  <c r="M432" i="1" s="1"/>
  <c r="G432" i="1"/>
  <c r="L431" i="1"/>
  <c r="J431" i="1"/>
  <c r="M431" i="1" s="1"/>
  <c r="G431" i="1"/>
  <c r="L430" i="1"/>
  <c r="J430" i="1"/>
  <c r="M430" i="1" s="1"/>
  <c r="G430" i="1"/>
  <c r="L429" i="1"/>
  <c r="M429" i="1" s="1"/>
  <c r="N429" i="1" s="1"/>
  <c r="J429" i="1"/>
  <c r="G429" i="1"/>
  <c r="L428" i="1"/>
  <c r="J428" i="1"/>
  <c r="M428" i="1" s="1"/>
  <c r="G428" i="1"/>
  <c r="M427" i="1"/>
  <c r="L427" i="1"/>
  <c r="J427" i="1"/>
  <c r="G427" i="1"/>
  <c r="L426" i="1"/>
  <c r="J426" i="1"/>
  <c r="M426" i="1" s="1"/>
  <c r="G426" i="1"/>
  <c r="L425" i="1"/>
  <c r="J425" i="1"/>
  <c r="M425" i="1" s="1"/>
  <c r="G425" i="1"/>
  <c r="L424" i="1"/>
  <c r="J424" i="1"/>
  <c r="M424" i="1" s="1"/>
  <c r="G424" i="1"/>
  <c r="L423" i="1"/>
  <c r="J423" i="1"/>
  <c r="M423" i="1" s="1"/>
  <c r="G423" i="1"/>
  <c r="L422" i="1"/>
  <c r="J422" i="1"/>
  <c r="M422" i="1" s="1"/>
  <c r="G422" i="1"/>
  <c r="L421" i="1"/>
  <c r="J421" i="1"/>
  <c r="M421" i="1" s="1"/>
  <c r="G421" i="1"/>
  <c r="L420" i="1"/>
  <c r="M420" i="1" s="1"/>
  <c r="J420" i="1"/>
  <c r="G420" i="1"/>
  <c r="M419" i="1"/>
  <c r="L419" i="1"/>
  <c r="J419" i="1"/>
  <c r="G419" i="1"/>
  <c r="L418" i="1"/>
  <c r="M418" i="1" s="1"/>
  <c r="J418" i="1"/>
  <c r="G418" i="1"/>
  <c r="L417" i="1"/>
  <c r="J417" i="1"/>
  <c r="M417" i="1" s="1"/>
  <c r="G417" i="1"/>
  <c r="L416" i="1"/>
  <c r="J416" i="1"/>
  <c r="M416" i="1" s="1"/>
  <c r="G416" i="1"/>
  <c r="L415" i="1"/>
  <c r="J415" i="1"/>
  <c r="M415" i="1" s="1"/>
  <c r="G415" i="1"/>
  <c r="L414" i="1"/>
  <c r="J414" i="1"/>
  <c r="M414" i="1" s="1"/>
  <c r="G414" i="1"/>
  <c r="L413" i="1"/>
  <c r="J413" i="1"/>
  <c r="M413" i="1" s="1"/>
  <c r="N413" i="1" s="1"/>
  <c r="G413" i="1"/>
  <c r="M412" i="1"/>
  <c r="O412" i="1" s="1"/>
  <c r="P412" i="1" s="1"/>
  <c r="L412" i="1"/>
  <c r="J412" i="1"/>
  <c r="G412" i="1"/>
  <c r="L411" i="1"/>
  <c r="J411" i="1"/>
  <c r="M411" i="1" s="1"/>
  <c r="O411" i="1" s="1"/>
  <c r="P411" i="1" s="1"/>
  <c r="G411" i="1"/>
  <c r="L410" i="1"/>
  <c r="J410" i="1"/>
  <c r="M410" i="1" s="1"/>
  <c r="O410" i="1" s="1"/>
  <c r="P410" i="1" s="1"/>
  <c r="G410" i="1"/>
  <c r="L409" i="1"/>
  <c r="J409" i="1"/>
  <c r="M409" i="1" s="1"/>
  <c r="O409" i="1" s="1"/>
  <c r="P409" i="1" s="1"/>
  <c r="G409" i="1"/>
  <c r="M408" i="1"/>
  <c r="O408" i="1" s="1"/>
  <c r="P408" i="1" s="1"/>
  <c r="L408" i="1"/>
  <c r="J408" i="1"/>
  <c r="G408" i="1"/>
  <c r="L407" i="1"/>
  <c r="J407" i="1"/>
  <c r="M407" i="1" s="1"/>
  <c r="O407" i="1" s="1"/>
  <c r="P407" i="1" s="1"/>
  <c r="G407" i="1"/>
  <c r="L406" i="1"/>
  <c r="J406" i="1"/>
  <c r="M406" i="1" s="1"/>
  <c r="O406" i="1" s="1"/>
  <c r="P406" i="1" s="1"/>
  <c r="G406" i="1"/>
  <c r="L405" i="1"/>
  <c r="J405" i="1"/>
  <c r="M405" i="1" s="1"/>
  <c r="O405" i="1" s="1"/>
  <c r="P405" i="1" s="1"/>
  <c r="G405" i="1"/>
  <c r="M404" i="1"/>
  <c r="O404" i="1" s="1"/>
  <c r="P404" i="1" s="1"/>
  <c r="L404" i="1"/>
  <c r="J404" i="1"/>
  <c r="G404" i="1"/>
  <c r="L403" i="1"/>
  <c r="J403" i="1"/>
  <c r="M403" i="1" s="1"/>
  <c r="O403" i="1" s="1"/>
  <c r="P403" i="1" s="1"/>
  <c r="G403" i="1"/>
  <c r="L402" i="1"/>
  <c r="J402" i="1"/>
  <c r="M402" i="1" s="1"/>
  <c r="O402" i="1" s="1"/>
  <c r="P402" i="1" s="1"/>
  <c r="G402" i="1"/>
  <c r="L401" i="1"/>
  <c r="J401" i="1"/>
  <c r="M401" i="1" s="1"/>
  <c r="O401" i="1" s="1"/>
  <c r="P401" i="1" s="1"/>
  <c r="G401" i="1"/>
  <c r="M400" i="1"/>
  <c r="O400" i="1" s="1"/>
  <c r="P400" i="1" s="1"/>
  <c r="L400" i="1"/>
  <c r="J400" i="1"/>
  <c r="G400" i="1"/>
  <c r="L399" i="1"/>
  <c r="J399" i="1"/>
  <c r="M399" i="1" s="1"/>
  <c r="O399" i="1" s="1"/>
  <c r="P399" i="1" s="1"/>
  <c r="G399" i="1"/>
  <c r="L398" i="1"/>
  <c r="J398" i="1"/>
  <c r="M398" i="1" s="1"/>
  <c r="O398" i="1" s="1"/>
  <c r="P398" i="1" s="1"/>
  <c r="G398" i="1"/>
  <c r="P397" i="1"/>
  <c r="L397" i="1"/>
  <c r="M397" i="1" s="1"/>
  <c r="O397" i="1" s="1"/>
  <c r="J397" i="1"/>
  <c r="G397" i="1"/>
  <c r="M396" i="1"/>
  <c r="O396" i="1" s="1"/>
  <c r="P396" i="1" s="1"/>
  <c r="L396" i="1"/>
  <c r="J396" i="1"/>
  <c r="G396" i="1"/>
  <c r="L395" i="1"/>
  <c r="J395" i="1"/>
  <c r="M395" i="1" s="1"/>
  <c r="O395" i="1" s="1"/>
  <c r="P395" i="1" s="1"/>
  <c r="G395" i="1"/>
  <c r="L394" i="1"/>
  <c r="J394" i="1"/>
  <c r="M394" i="1" s="1"/>
  <c r="O394" i="1" s="1"/>
  <c r="P394" i="1" s="1"/>
  <c r="G394" i="1"/>
  <c r="L393" i="1"/>
  <c r="J393" i="1"/>
  <c r="M393" i="1" s="1"/>
  <c r="O393" i="1" s="1"/>
  <c r="P393" i="1" s="1"/>
  <c r="G393" i="1"/>
  <c r="M392" i="1"/>
  <c r="O392" i="1" s="1"/>
  <c r="P392" i="1" s="1"/>
  <c r="L392" i="1"/>
  <c r="J392" i="1"/>
  <c r="G392" i="1"/>
  <c r="L391" i="1"/>
  <c r="J391" i="1"/>
  <c r="M391" i="1" s="1"/>
  <c r="O391" i="1" s="1"/>
  <c r="P391" i="1" s="1"/>
  <c r="G391" i="1"/>
  <c r="L390" i="1"/>
  <c r="J390" i="1"/>
  <c r="M390" i="1" s="1"/>
  <c r="O390" i="1" s="1"/>
  <c r="P390" i="1" s="1"/>
  <c r="G390" i="1"/>
  <c r="L389" i="1"/>
  <c r="M389" i="1" s="1"/>
  <c r="O389" i="1" s="1"/>
  <c r="P389" i="1" s="1"/>
  <c r="J389" i="1"/>
  <c r="G389" i="1"/>
  <c r="M388" i="1"/>
  <c r="O388" i="1" s="1"/>
  <c r="P388" i="1" s="1"/>
  <c r="L388" i="1"/>
  <c r="J388" i="1"/>
  <c r="G388" i="1"/>
  <c r="L387" i="1"/>
  <c r="J387" i="1"/>
  <c r="M387" i="1" s="1"/>
  <c r="O387" i="1" s="1"/>
  <c r="P387" i="1" s="1"/>
  <c r="G387" i="1"/>
  <c r="L386" i="1"/>
  <c r="J386" i="1"/>
  <c r="M386" i="1" s="1"/>
  <c r="O386" i="1" s="1"/>
  <c r="P386" i="1" s="1"/>
  <c r="G386" i="1"/>
  <c r="L385" i="1"/>
  <c r="J385" i="1"/>
  <c r="M385" i="1" s="1"/>
  <c r="O385" i="1" s="1"/>
  <c r="P385" i="1" s="1"/>
  <c r="G385" i="1"/>
  <c r="M384" i="1"/>
  <c r="O384" i="1" s="1"/>
  <c r="P384" i="1" s="1"/>
  <c r="L384" i="1"/>
  <c r="J384" i="1"/>
  <c r="G384" i="1"/>
  <c r="L383" i="1"/>
  <c r="J383" i="1"/>
  <c r="M383" i="1" s="1"/>
  <c r="O383" i="1" s="1"/>
  <c r="P383" i="1" s="1"/>
  <c r="G383" i="1"/>
  <c r="L382" i="1"/>
  <c r="J382" i="1"/>
  <c r="M382" i="1" s="1"/>
  <c r="O382" i="1" s="1"/>
  <c r="P382" i="1" s="1"/>
  <c r="G382" i="1"/>
  <c r="L381" i="1"/>
  <c r="J381" i="1"/>
  <c r="M381" i="1" s="1"/>
  <c r="O381" i="1" s="1"/>
  <c r="P381" i="1" s="1"/>
  <c r="G381" i="1"/>
  <c r="M380" i="1"/>
  <c r="O380" i="1" s="1"/>
  <c r="P380" i="1" s="1"/>
  <c r="L380" i="1"/>
  <c r="J380" i="1"/>
  <c r="G380" i="1"/>
  <c r="L379" i="1"/>
  <c r="J379" i="1"/>
  <c r="M379" i="1" s="1"/>
  <c r="O379" i="1" s="1"/>
  <c r="P379" i="1" s="1"/>
  <c r="G379" i="1"/>
  <c r="L378" i="1"/>
  <c r="J378" i="1"/>
  <c r="M378" i="1" s="1"/>
  <c r="O378" i="1" s="1"/>
  <c r="P378" i="1" s="1"/>
  <c r="G378" i="1"/>
  <c r="L377" i="1"/>
  <c r="J377" i="1"/>
  <c r="M377" i="1" s="1"/>
  <c r="O377" i="1" s="1"/>
  <c r="P377" i="1" s="1"/>
  <c r="G377" i="1"/>
  <c r="M376" i="1"/>
  <c r="O376" i="1" s="1"/>
  <c r="P376" i="1" s="1"/>
  <c r="L376" i="1"/>
  <c r="J376" i="1"/>
  <c r="G376" i="1"/>
  <c r="L375" i="1"/>
  <c r="J375" i="1"/>
  <c r="M375" i="1" s="1"/>
  <c r="O375" i="1" s="1"/>
  <c r="P375" i="1" s="1"/>
  <c r="G375" i="1"/>
  <c r="L374" i="1"/>
  <c r="J374" i="1"/>
  <c r="M374" i="1" s="1"/>
  <c r="O374" i="1" s="1"/>
  <c r="P374" i="1" s="1"/>
  <c r="G374" i="1"/>
  <c r="L373" i="1"/>
  <c r="J373" i="1"/>
  <c r="M373" i="1" s="1"/>
  <c r="O373" i="1" s="1"/>
  <c r="P373" i="1" s="1"/>
  <c r="G373" i="1"/>
  <c r="M372" i="1"/>
  <c r="O372" i="1" s="1"/>
  <c r="P372" i="1" s="1"/>
  <c r="L372" i="1"/>
  <c r="J372" i="1"/>
  <c r="G372" i="1"/>
  <c r="L371" i="1"/>
  <c r="J371" i="1"/>
  <c r="M371" i="1" s="1"/>
  <c r="O371" i="1" s="1"/>
  <c r="P371" i="1" s="1"/>
  <c r="G371" i="1"/>
  <c r="L370" i="1"/>
  <c r="M370" i="1" s="1"/>
  <c r="O370" i="1" s="1"/>
  <c r="P370" i="1" s="1"/>
  <c r="J370" i="1"/>
  <c r="G370" i="1"/>
  <c r="L369" i="1"/>
  <c r="J369" i="1"/>
  <c r="M369" i="1" s="1"/>
  <c r="O369" i="1" s="1"/>
  <c r="P369" i="1" s="1"/>
  <c r="G369" i="1"/>
  <c r="M368" i="1"/>
  <c r="O368" i="1" s="1"/>
  <c r="P368" i="1" s="1"/>
  <c r="L368" i="1"/>
  <c r="J368" i="1"/>
  <c r="G368" i="1"/>
  <c r="L367" i="1"/>
  <c r="J367" i="1"/>
  <c r="M367" i="1" s="1"/>
  <c r="O367" i="1" s="1"/>
  <c r="P367" i="1" s="1"/>
  <c r="G367" i="1"/>
  <c r="L366" i="1"/>
  <c r="J366" i="1"/>
  <c r="M366" i="1" s="1"/>
  <c r="O366" i="1" s="1"/>
  <c r="P366" i="1" s="1"/>
  <c r="G366" i="1"/>
  <c r="P365" i="1"/>
  <c r="L365" i="1"/>
  <c r="M365" i="1" s="1"/>
  <c r="O365" i="1" s="1"/>
  <c r="J365" i="1"/>
  <c r="G365" i="1"/>
  <c r="M364" i="1"/>
  <c r="O364" i="1" s="1"/>
  <c r="P364" i="1" s="1"/>
  <c r="L364" i="1"/>
  <c r="J364" i="1"/>
  <c r="G364" i="1"/>
  <c r="L363" i="1"/>
  <c r="J363" i="1"/>
  <c r="M363" i="1" s="1"/>
  <c r="O363" i="1" s="1"/>
  <c r="P363" i="1" s="1"/>
  <c r="G363" i="1"/>
  <c r="L362" i="1"/>
  <c r="J362" i="1"/>
  <c r="M362" i="1" s="1"/>
  <c r="O362" i="1" s="1"/>
  <c r="P362" i="1" s="1"/>
  <c r="G362" i="1"/>
  <c r="L361" i="1"/>
  <c r="J361" i="1"/>
  <c r="M361" i="1" s="1"/>
  <c r="O361" i="1" s="1"/>
  <c r="P361" i="1" s="1"/>
  <c r="G361" i="1"/>
  <c r="M360" i="1"/>
  <c r="O360" i="1" s="1"/>
  <c r="P360" i="1" s="1"/>
  <c r="L360" i="1"/>
  <c r="J360" i="1"/>
  <c r="G360" i="1"/>
  <c r="L359" i="1"/>
  <c r="J359" i="1"/>
  <c r="M359" i="1" s="1"/>
  <c r="O359" i="1" s="1"/>
  <c r="P359" i="1" s="1"/>
  <c r="G359" i="1"/>
  <c r="L358" i="1"/>
  <c r="J358" i="1"/>
  <c r="M358" i="1" s="1"/>
  <c r="O358" i="1" s="1"/>
  <c r="P358" i="1" s="1"/>
  <c r="G358" i="1"/>
  <c r="L357" i="1"/>
  <c r="J357" i="1"/>
  <c r="M357" i="1" s="1"/>
  <c r="O357" i="1" s="1"/>
  <c r="P357" i="1" s="1"/>
  <c r="G357" i="1"/>
  <c r="M356" i="1"/>
  <c r="O356" i="1" s="1"/>
  <c r="P356" i="1" s="1"/>
  <c r="L356" i="1"/>
  <c r="J356" i="1"/>
  <c r="G356" i="1"/>
  <c r="L355" i="1"/>
  <c r="J355" i="1"/>
  <c r="M355" i="1" s="1"/>
  <c r="O355" i="1" s="1"/>
  <c r="P355" i="1" s="1"/>
  <c r="G355" i="1"/>
  <c r="M354" i="1"/>
  <c r="O354" i="1" s="1"/>
  <c r="P354" i="1" s="1"/>
  <c r="L354" i="1"/>
  <c r="J354" i="1"/>
  <c r="G354" i="1"/>
  <c r="L353" i="1"/>
  <c r="J353" i="1"/>
  <c r="M353" i="1" s="1"/>
  <c r="O353" i="1" s="1"/>
  <c r="P353" i="1" s="1"/>
  <c r="G353" i="1"/>
  <c r="M352" i="1"/>
  <c r="O352" i="1" s="1"/>
  <c r="P352" i="1" s="1"/>
  <c r="L352" i="1"/>
  <c r="J352" i="1"/>
  <c r="G352" i="1"/>
  <c r="L351" i="1"/>
  <c r="J351" i="1"/>
  <c r="M351" i="1" s="1"/>
  <c r="O351" i="1" s="1"/>
  <c r="P351" i="1" s="1"/>
  <c r="G351" i="1"/>
  <c r="L350" i="1"/>
  <c r="J350" i="1"/>
  <c r="M350" i="1" s="1"/>
  <c r="O350" i="1" s="1"/>
  <c r="P350" i="1" s="1"/>
  <c r="G350" i="1"/>
  <c r="M349" i="1"/>
  <c r="O349" i="1" s="1"/>
  <c r="P349" i="1" s="1"/>
  <c r="L349" i="1"/>
  <c r="J349" i="1"/>
  <c r="G349" i="1"/>
  <c r="M348" i="1"/>
  <c r="O348" i="1" s="1"/>
  <c r="P348" i="1" s="1"/>
  <c r="L348" i="1"/>
  <c r="J348" i="1"/>
  <c r="G348" i="1"/>
  <c r="L347" i="1"/>
  <c r="J347" i="1"/>
  <c r="M347" i="1" s="1"/>
  <c r="O347" i="1" s="1"/>
  <c r="P347" i="1" s="1"/>
  <c r="G347" i="1"/>
  <c r="L346" i="1"/>
  <c r="J346" i="1"/>
  <c r="M346" i="1" s="1"/>
  <c r="O346" i="1" s="1"/>
  <c r="P346" i="1" s="1"/>
  <c r="G346" i="1"/>
  <c r="L345" i="1"/>
  <c r="J345" i="1"/>
  <c r="M345" i="1" s="1"/>
  <c r="O345" i="1" s="1"/>
  <c r="P345" i="1" s="1"/>
  <c r="G345" i="1"/>
  <c r="M344" i="1"/>
  <c r="O344" i="1" s="1"/>
  <c r="P344" i="1" s="1"/>
  <c r="L344" i="1"/>
  <c r="J344" i="1"/>
  <c r="G344" i="1"/>
  <c r="L343" i="1"/>
  <c r="J343" i="1"/>
  <c r="M343" i="1" s="1"/>
  <c r="O343" i="1" s="1"/>
  <c r="P343" i="1" s="1"/>
  <c r="G343" i="1"/>
  <c r="L342" i="1"/>
  <c r="J342" i="1"/>
  <c r="M342" i="1" s="1"/>
  <c r="O342" i="1" s="1"/>
  <c r="P342" i="1" s="1"/>
  <c r="G342" i="1"/>
  <c r="L341" i="1"/>
  <c r="M341" i="1" s="1"/>
  <c r="O341" i="1" s="1"/>
  <c r="P341" i="1" s="1"/>
  <c r="J341" i="1"/>
  <c r="G341" i="1"/>
  <c r="M340" i="1"/>
  <c r="O340" i="1" s="1"/>
  <c r="P340" i="1" s="1"/>
  <c r="L340" i="1"/>
  <c r="J340" i="1"/>
  <c r="G340" i="1"/>
  <c r="L339" i="1"/>
  <c r="J339" i="1"/>
  <c r="M339" i="1" s="1"/>
  <c r="O339" i="1" s="1"/>
  <c r="P339" i="1" s="1"/>
  <c r="G339" i="1"/>
  <c r="L338" i="1"/>
  <c r="J338" i="1"/>
  <c r="M338" i="1" s="1"/>
  <c r="O338" i="1" s="1"/>
  <c r="P338" i="1" s="1"/>
  <c r="G338" i="1"/>
  <c r="L337" i="1"/>
  <c r="J337" i="1"/>
  <c r="M337" i="1" s="1"/>
  <c r="O337" i="1" s="1"/>
  <c r="P337" i="1" s="1"/>
  <c r="G337" i="1"/>
  <c r="M336" i="1"/>
  <c r="O336" i="1" s="1"/>
  <c r="P336" i="1" s="1"/>
  <c r="L336" i="1"/>
  <c r="J336" i="1"/>
  <c r="G336" i="1"/>
  <c r="L335" i="1"/>
  <c r="J335" i="1"/>
  <c r="M335" i="1" s="1"/>
  <c r="O335" i="1" s="1"/>
  <c r="P335" i="1" s="1"/>
  <c r="G335" i="1"/>
  <c r="L334" i="1"/>
  <c r="J334" i="1"/>
  <c r="M334" i="1" s="1"/>
  <c r="O334" i="1" s="1"/>
  <c r="P334" i="1" s="1"/>
  <c r="G334" i="1"/>
  <c r="P333" i="1"/>
  <c r="L333" i="1"/>
  <c r="M333" i="1" s="1"/>
  <c r="O333" i="1" s="1"/>
  <c r="J333" i="1"/>
  <c r="G333" i="1"/>
  <c r="M332" i="1"/>
  <c r="O332" i="1" s="1"/>
  <c r="P332" i="1" s="1"/>
  <c r="L332" i="1"/>
  <c r="J332" i="1"/>
  <c r="G332" i="1"/>
  <c r="L331" i="1"/>
  <c r="J331" i="1"/>
  <c r="M331" i="1" s="1"/>
  <c r="O331" i="1" s="1"/>
  <c r="P331" i="1" s="1"/>
  <c r="G331" i="1"/>
  <c r="L330" i="1"/>
  <c r="J330" i="1"/>
  <c r="M330" i="1" s="1"/>
  <c r="O330" i="1" s="1"/>
  <c r="P330" i="1" s="1"/>
  <c r="G330" i="1"/>
  <c r="L329" i="1"/>
  <c r="J329" i="1"/>
  <c r="M329" i="1" s="1"/>
  <c r="O329" i="1" s="1"/>
  <c r="P329" i="1" s="1"/>
  <c r="G329" i="1"/>
  <c r="M328" i="1"/>
  <c r="O328" i="1" s="1"/>
  <c r="P328" i="1" s="1"/>
  <c r="L328" i="1"/>
  <c r="J328" i="1"/>
  <c r="G328" i="1"/>
  <c r="L327" i="1"/>
  <c r="J327" i="1"/>
  <c r="M327" i="1" s="1"/>
  <c r="O327" i="1" s="1"/>
  <c r="P327" i="1" s="1"/>
  <c r="G327" i="1"/>
  <c r="L326" i="1"/>
  <c r="J326" i="1"/>
  <c r="M326" i="1" s="1"/>
  <c r="O326" i="1" s="1"/>
  <c r="P326" i="1" s="1"/>
  <c r="G326" i="1"/>
  <c r="L325" i="1"/>
  <c r="J325" i="1"/>
  <c r="M325" i="1" s="1"/>
  <c r="O325" i="1" s="1"/>
  <c r="P325" i="1" s="1"/>
  <c r="G325" i="1"/>
  <c r="M324" i="1"/>
  <c r="O324" i="1" s="1"/>
  <c r="P324" i="1" s="1"/>
  <c r="L324" i="1"/>
  <c r="J324" i="1"/>
  <c r="G324" i="1"/>
  <c r="L323" i="1"/>
  <c r="J323" i="1"/>
  <c r="M323" i="1" s="1"/>
  <c r="O323" i="1" s="1"/>
  <c r="P323" i="1" s="1"/>
  <c r="G323" i="1"/>
  <c r="L322" i="1"/>
  <c r="J322" i="1"/>
  <c r="M322" i="1" s="1"/>
  <c r="O322" i="1" s="1"/>
  <c r="P322" i="1" s="1"/>
  <c r="G322" i="1"/>
  <c r="L321" i="1"/>
  <c r="J321" i="1"/>
  <c r="M321" i="1" s="1"/>
  <c r="O321" i="1" s="1"/>
  <c r="P321" i="1" s="1"/>
  <c r="G321" i="1"/>
  <c r="M320" i="1"/>
  <c r="O320" i="1" s="1"/>
  <c r="P320" i="1" s="1"/>
  <c r="L320" i="1"/>
  <c r="J320" i="1"/>
  <c r="G320" i="1"/>
  <c r="L319" i="1"/>
  <c r="J319" i="1"/>
  <c r="M319" i="1" s="1"/>
  <c r="O319" i="1" s="1"/>
  <c r="P319" i="1" s="1"/>
  <c r="G319" i="1"/>
  <c r="L318" i="1"/>
  <c r="J318" i="1"/>
  <c r="M318" i="1" s="1"/>
  <c r="O318" i="1" s="1"/>
  <c r="P318" i="1" s="1"/>
  <c r="G318" i="1"/>
  <c r="P317" i="1"/>
  <c r="L317" i="1"/>
  <c r="M317" i="1" s="1"/>
  <c r="O317" i="1" s="1"/>
  <c r="J317" i="1"/>
  <c r="G317" i="1"/>
  <c r="M316" i="1"/>
  <c r="O316" i="1" s="1"/>
  <c r="P316" i="1" s="1"/>
  <c r="L316" i="1"/>
  <c r="J316" i="1"/>
  <c r="G316" i="1"/>
  <c r="L315" i="1"/>
  <c r="J315" i="1"/>
  <c r="M315" i="1" s="1"/>
  <c r="O315" i="1" s="1"/>
  <c r="P315" i="1" s="1"/>
  <c r="G315" i="1"/>
  <c r="L314" i="1"/>
  <c r="J314" i="1"/>
  <c r="M314" i="1" s="1"/>
  <c r="O314" i="1" s="1"/>
  <c r="P314" i="1" s="1"/>
  <c r="G314" i="1"/>
  <c r="L313" i="1"/>
  <c r="J313" i="1"/>
  <c r="M313" i="1" s="1"/>
  <c r="O313" i="1" s="1"/>
  <c r="P313" i="1" s="1"/>
  <c r="G313" i="1"/>
  <c r="M312" i="1"/>
  <c r="O312" i="1" s="1"/>
  <c r="P312" i="1" s="1"/>
  <c r="L312" i="1"/>
  <c r="J312" i="1"/>
  <c r="G312" i="1"/>
  <c r="L311" i="1"/>
  <c r="J311" i="1"/>
  <c r="M311" i="1" s="1"/>
  <c r="O311" i="1" s="1"/>
  <c r="P311" i="1" s="1"/>
  <c r="G311" i="1"/>
  <c r="L310" i="1"/>
  <c r="J310" i="1"/>
  <c r="M310" i="1" s="1"/>
  <c r="O310" i="1" s="1"/>
  <c r="P310" i="1" s="1"/>
  <c r="G310" i="1"/>
  <c r="L309" i="1"/>
  <c r="M309" i="1" s="1"/>
  <c r="O309" i="1" s="1"/>
  <c r="P309" i="1" s="1"/>
  <c r="J309" i="1"/>
  <c r="G309" i="1"/>
  <c r="M308" i="1"/>
  <c r="O308" i="1" s="1"/>
  <c r="P308" i="1" s="1"/>
  <c r="L308" i="1"/>
  <c r="J308" i="1"/>
  <c r="G308" i="1"/>
  <c r="L307" i="1"/>
  <c r="J307" i="1"/>
  <c r="M307" i="1" s="1"/>
  <c r="O307" i="1" s="1"/>
  <c r="P307" i="1" s="1"/>
  <c r="G307" i="1"/>
  <c r="L306" i="1"/>
  <c r="J306" i="1"/>
  <c r="M306" i="1" s="1"/>
  <c r="O306" i="1" s="1"/>
  <c r="P306" i="1" s="1"/>
  <c r="G306" i="1"/>
  <c r="L305" i="1"/>
  <c r="J305" i="1"/>
  <c r="M305" i="1" s="1"/>
  <c r="O305" i="1" s="1"/>
  <c r="P305" i="1" s="1"/>
  <c r="G305" i="1"/>
  <c r="M304" i="1"/>
  <c r="O304" i="1" s="1"/>
  <c r="P304" i="1" s="1"/>
  <c r="L304" i="1"/>
  <c r="J304" i="1"/>
  <c r="G304" i="1"/>
  <c r="L303" i="1"/>
  <c r="J303" i="1"/>
  <c r="M303" i="1" s="1"/>
  <c r="O303" i="1" s="1"/>
  <c r="P303" i="1" s="1"/>
  <c r="G303" i="1"/>
  <c r="L302" i="1"/>
  <c r="J302" i="1"/>
  <c r="M302" i="1" s="1"/>
  <c r="O302" i="1" s="1"/>
  <c r="P302" i="1" s="1"/>
  <c r="G302" i="1"/>
  <c r="L301" i="1"/>
  <c r="M301" i="1" s="1"/>
  <c r="O301" i="1" s="1"/>
  <c r="P301" i="1" s="1"/>
  <c r="J301" i="1"/>
  <c r="G301" i="1"/>
  <c r="M300" i="1"/>
  <c r="O300" i="1" s="1"/>
  <c r="P300" i="1" s="1"/>
  <c r="L300" i="1"/>
  <c r="J300" i="1"/>
  <c r="G300" i="1"/>
  <c r="L299" i="1"/>
  <c r="J299" i="1"/>
  <c r="M299" i="1" s="1"/>
  <c r="O299" i="1" s="1"/>
  <c r="P299" i="1" s="1"/>
  <c r="G299" i="1"/>
  <c r="L298" i="1"/>
  <c r="J298" i="1"/>
  <c r="M298" i="1" s="1"/>
  <c r="O298" i="1" s="1"/>
  <c r="P298" i="1" s="1"/>
  <c r="G298" i="1"/>
  <c r="L297" i="1"/>
  <c r="J297" i="1"/>
  <c r="M297" i="1" s="1"/>
  <c r="O297" i="1" s="1"/>
  <c r="P297" i="1" s="1"/>
  <c r="G297" i="1"/>
  <c r="M296" i="1"/>
  <c r="O296" i="1" s="1"/>
  <c r="P296" i="1" s="1"/>
  <c r="L296" i="1"/>
  <c r="J296" i="1"/>
  <c r="G296" i="1"/>
  <c r="L295" i="1"/>
  <c r="J295" i="1"/>
  <c r="M295" i="1" s="1"/>
  <c r="O295" i="1" s="1"/>
  <c r="P295" i="1" s="1"/>
  <c r="G295" i="1"/>
  <c r="L294" i="1"/>
  <c r="J294" i="1"/>
  <c r="M294" i="1" s="1"/>
  <c r="O294" i="1" s="1"/>
  <c r="P294" i="1" s="1"/>
  <c r="G294" i="1"/>
  <c r="P293" i="1"/>
  <c r="L293" i="1"/>
  <c r="J293" i="1"/>
  <c r="M293" i="1" s="1"/>
  <c r="O293" i="1" s="1"/>
  <c r="G293" i="1"/>
  <c r="M292" i="1"/>
  <c r="O292" i="1" s="1"/>
  <c r="P292" i="1" s="1"/>
  <c r="L292" i="1"/>
  <c r="J292" i="1"/>
  <c r="G292" i="1"/>
  <c r="L291" i="1"/>
  <c r="J291" i="1"/>
  <c r="M291" i="1" s="1"/>
  <c r="O291" i="1" s="1"/>
  <c r="P291" i="1" s="1"/>
  <c r="G291" i="1"/>
  <c r="L290" i="1"/>
  <c r="J290" i="1"/>
  <c r="M290" i="1" s="1"/>
  <c r="O290" i="1" s="1"/>
  <c r="P290" i="1" s="1"/>
  <c r="G290" i="1"/>
  <c r="L289" i="1"/>
  <c r="J289" i="1"/>
  <c r="M289" i="1" s="1"/>
  <c r="O289" i="1" s="1"/>
  <c r="P289" i="1" s="1"/>
  <c r="G289" i="1"/>
  <c r="M288" i="1"/>
  <c r="O288" i="1" s="1"/>
  <c r="P288" i="1" s="1"/>
  <c r="L288" i="1"/>
  <c r="J288" i="1"/>
  <c r="G288" i="1"/>
  <c r="L287" i="1"/>
  <c r="J287" i="1"/>
  <c r="M287" i="1" s="1"/>
  <c r="O287" i="1" s="1"/>
  <c r="P287" i="1" s="1"/>
  <c r="G287" i="1"/>
  <c r="L286" i="1"/>
  <c r="J286" i="1"/>
  <c r="M286" i="1" s="1"/>
  <c r="O286" i="1" s="1"/>
  <c r="P286" i="1" s="1"/>
  <c r="G286" i="1"/>
  <c r="P285" i="1"/>
  <c r="L285" i="1"/>
  <c r="M285" i="1" s="1"/>
  <c r="O285" i="1" s="1"/>
  <c r="J285" i="1"/>
  <c r="G285" i="1"/>
  <c r="M284" i="1"/>
  <c r="O284" i="1" s="1"/>
  <c r="P284" i="1" s="1"/>
  <c r="L284" i="1"/>
  <c r="J284" i="1"/>
  <c r="G284" i="1"/>
  <c r="L283" i="1"/>
  <c r="J283" i="1"/>
  <c r="M283" i="1" s="1"/>
  <c r="O283" i="1" s="1"/>
  <c r="P283" i="1" s="1"/>
  <c r="G283" i="1"/>
  <c r="L282" i="1"/>
  <c r="J282" i="1"/>
  <c r="M282" i="1" s="1"/>
  <c r="O282" i="1" s="1"/>
  <c r="P282" i="1" s="1"/>
  <c r="G282" i="1"/>
  <c r="L281" i="1"/>
  <c r="J281" i="1"/>
  <c r="M281" i="1" s="1"/>
  <c r="O281" i="1" s="1"/>
  <c r="P281" i="1" s="1"/>
  <c r="G281" i="1"/>
  <c r="M280" i="1"/>
  <c r="O280" i="1" s="1"/>
  <c r="P280" i="1" s="1"/>
  <c r="L280" i="1"/>
  <c r="J280" i="1"/>
  <c r="G280" i="1"/>
  <c r="L279" i="1"/>
  <c r="J279" i="1"/>
  <c r="M279" i="1" s="1"/>
  <c r="O279" i="1" s="1"/>
  <c r="P279" i="1" s="1"/>
  <c r="G279" i="1"/>
  <c r="L278" i="1"/>
  <c r="J278" i="1"/>
  <c r="M278" i="1" s="1"/>
  <c r="O278" i="1" s="1"/>
  <c r="P278" i="1" s="1"/>
  <c r="G278" i="1"/>
  <c r="M277" i="1"/>
  <c r="O277" i="1" s="1"/>
  <c r="P277" i="1" s="1"/>
  <c r="L277" i="1"/>
  <c r="J277" i="1"/>
  <c r="G277" i="1"/>
  <c r="M276" i="1"/>
  <c r="O276" i="1" s="1"/>
  <c r="P276" i="1" s="1"/>
  <c r="L276" i="1"/>
  <c r="J276" i="1"/>
  <c r="G276" i="1"/>
  <c r="L275" i="1"/>
  <c r="J275" i="1"/>
  <c r="M275" i="1" s="1"/>
  <c r="O275" i="1" s="1"/>
  <c r="P275" i="1" s="1"/>
  <c r="G275" i="1"/>
  <c r="L274" i="1"/>
  <c r="J274" i="1"/>
  <c r="M274" i="1" s="1"/>
  <c r="O274" i="1" s="1"/>
  <c r="P274" i="1" s="1"/>
  <c r="G274" i="1"/>
  <c r="L273" i="1"/>
  <c r="J273" i="1"/>
  <c r="M273" i="1" s="1"/>
  <c r="O273" i="1" s="1"/>
  <c r="P273" i="1" s="1"/>
  <c r="G273" i="1"/>
  <c r="M272" i="1"/>
  <c r="O272" i="1" s="1"/>
  <c r="P272" i="1" s="1"/>
  <c r="L272" i="1"/>
  <c r="J272" i="1"/>
  <c r="G272" i="1"/>
  <c r="L271" i="1"/>
  <c r="J271" i="1"/>
  <c r="M271" i="1" s="1"/>
  <c r="O271" i="1" s="1"/>
  <c r="P271" i="1" s="1"/>
  <c r="G271" i="1"/>
  <c r="L270" i="1"/>
  <c r="J270" i="1"/>
  <c r="M270" i="1" s="1"/>
  <c r="O270" i="1" s="1"/>
  <c r="P270" i="1" s="1"/>
  <c r="G270" i="1"/>
  <c r="L269" i="1"/>
  <c r="M269" i="1" s="1"/>
  <c r="O269" i="1" s="1"/>
  <c r="P269" i="1" s="1"/>
  <c r="J269" i="1"/>
  <c r="G269" i="1"/>
  <c r="M268" i="1"/>
  <c r="O268" i="1" s="1"/>
  <c r="P268" i="1" s="1"/>
  <c r="L268" i="1"/>
  <c r="J268" i="1"/>
  <c r="G268" i="1"/>
  <c r="L267" i="1"/>
  <c r="J267" i="1"/>
  <c r="M267" i="1" s="1"/>
  <c r="O267" i="1" s="1"/>
  <c r="P267" i="1" s="1"/>
  <c r="G267" i="1"/>
  <c r="L266" i="1"/>
  <c r="J266" i="1"/>
  <c r="M266" i="1" s="1"/>
  <c r="O266" i="1" s="1"/>
  <c r="P266" i="1" s="1"/>
  <c r="G266" i="1"/>
  <c r="L265" i="1"/>
  <c r="J265" i="1"/>
  <c r="M265" i="1" s="1"/>
  <c r="O265" i="1" s="1"/>
  <c r="P265" i="1" s="1"/>
  <c r="G265" i="1"/>
  <c r="M264" i="1"/>
  <c r="O264" i="1" s="1"/>
  <c r="P264" i="1" s="1"/>
  <c r="L264" i="1"/>
  <c r="J264" i="1"/>
  <c r="G264" i="1"/>
  <c r="L263" i="1"/>
  <c r="J263" i="1"/>
  <c r="M263" i="1" s="1"/>
  <c r="O263" i="1" s="1"/>
  <c r="P263" i="1" s="1"/>
  <c r="G263" i="1"/>
  <c r="L262" i="1"/>
  <c r="J262" i="1"/>
  <c r="M262" i="1" s="1"/>
  <c r="O262" i="1" s="1"/>
  <c r="P262" i="1" s="1"/>
  <c r="G262" i="1"/>
  <c r="L261" i="1"/>
  <c r="M261" i="1" s="1"/>
  <c r="O261" i="1" s="1"/>
  <c r="P261" i="1" s="1"/>
  <c r="J261" i="1"/>
  <c r="G261" i="1"/>
  <c r="M260" i="1"/>
  <c r="O260" i="1" s="1"/>
  <c r="P260" i="1" s="1"/>
  <c r="L260" i="1"/>
  <c r="J260" i="1"/>
  <c r="G260" i="1"/>
  <c r="L259" i="1"/>
  <c r="J259" i="1"/>
  <c r="M259" i="1" s="1"/>
  <c r="O259" i="1" s="1"/>
  <c r="P259" i="1" s="1"/>
  <c r="G259" i="1"/>
  <c r="L258" i="1"/>
  <c r="J258" i="1"/>
  <c r="M258" i="1" s="1"/>
  <c r="O258" i="1" s="1"/>
  <c r="P258" i="1" s="1"/>
  <c r="G258" i="1"/>
  <c r="L257" i="1"/>
  <c r="J257" i="1"/>
  <c r="M257" i="1" s="1"/>
  <c r="O257" i="1" s="1"/>
  <c r="P257" i="1" s="1"/>
  <c r="G257" i="1"/>
  <c r="M256" i="1"/>
  <c r="O256" i="1" s="1"/>
  <c r="P256" i="1" s="1"/>
  <c r="L256" i="1"/>
  <c r="J256" i="1"/>
  <c r="G256" i="1"/>
  <c r="L255" i="1"/>
  <c r="J255" i="1"/>
  <c r="M255" i="1" s="1"/>
  <c r="O255" i="1" s="1"/>
  <c r="P255" i="1" s="1"/>
  <c r="G255" i="1"/>
  <c r="L254" i="1"/>
  <c r="J254" i="1"/>
  <c r="M254" i="1" s="1"/>
  <c r="O254" i="1" s="1"/>
  <c r="P254" i="1" s="1"/>
  <c r="G254" i="1"/>
  <c r="P253" i="1"/>
  <c r="L253" i="1"/>
  <c r="J253" i="1"/>
  <c r="M253" i="1" s="1"/>
  <c r="O253" i="1" s="1"/>
  <c r="G253" i="1"/>
  <c r="M252" i="1"/>
  <c r="O252" i="1" s="1"/>
  <c r="P252" i="1" s="1"/>
  <c r="L252" i="1"/>
  <c r="J252" i="1"/>
  <c r="G252" i="1"/>
  <c r="L251" i="1"/>
  <c r="J251" i="1"/>
  <c r="M251" i="1" s="1"/>
  <c r="O251" i="1" s="1"/>
  <c r="P251" i="1" s="1"/>
  <c r="G251" i="1"/>
  <c r="L250" i="1"/>
  <c r="J250" i="1"/>
  <c r="M250" i="1" s="1"/>
  <c r="O250" i="1" s="1"/>
  <c r="P250" i="1" s="1"/>
  <c r="G250" i="1"/>
  <c r="L249" i="1"/>
  <c r="J249" i="1"/>
  <c r="M249" i="1" s="1"/>
  <c r="O249" i="1" s="1"/>
  <c r="P249" i="1" s="1"/>
  <c r="G249" i="1"/>
  <c r="M248" i="1"/>
  <c r="O248" i="1" s="1"/>
  <c r="P248" i="1" s="1"/>
  <c r="L248" i="1"/>
  <c r="J248" i="1"/>
  <c r="G248" i="1"/>
  <c r="L247" i="1"/>
  <c r="J247" i="1"/>
  <c r="M247" i="1" s="1"/>
  <c r="O247" i="1" s="1"/>
  <c r="P247" i="1" s="1"/>
  <c r="G247" i="1"/>
  <c r="L246" i="1"/>
  <c r="J246" i="1"/>
  <c r="M246" i="1" s="1"/>
  <c r="O246" i="1" s="1"/>
  <c r="P246" i="1" s="1"/>
  <c r="G246" i="1"/>
  <c r="P245" i="1"/>
  <c r="L245" i="1"/>
  <c r="J245" i="1"/>
  <c r="M245" i="1" s="1"/>
  <c r="O245" i="1" s="1"/>
  <c r="G245" i="1"/>
  <c r="M244" i="1"/>
  <c r="O244" i="1" s="1"/>
  <c r="P244" i="1" s="1"/>
  <c r="L244" i="1"/>
  <c r="J244" i="1"/>
  <c r="G244" i="1"/>
  <c r="L243" i="1"/>
  <c r="J243" i="1"/>
  <c r="M243" i="1" s="1"/>
  <c r="O243" i="1" s="1"/>
  <c r="P243" i="1" s="1"/>
  <c r="G243" i="1"/>
  <c r="L242" i="1"/>
  <c r="J242" i="1"/>
  <c r="M242" i="1" s="1"/>
  <c r="O242" i="1" s="1"/>
  <c r="P242" i="1" s="1"/>
  <c r="G242" i="1"/>
  <c r="L241" i="1"/>
  <c r="J241" i="1"/>
  <c r="M241" i="1" s="1"/>
  <c r="O241" i="1" s="1"/>
  <c r="P241" i="1" s="1"/>
  <c r="G241" i="1"/>
  <c r="M240" i="1"/>
  <c r="O240" i="1" s="1"/>
  <c r="P240" i="1" s="1"/>
  <c r="L240" i="1"/>
  <c r="J240" i="1"/>
  <c r="G240" i="1"/>
  <c r="L239" i="1"/>
  <c r="J239" i="1"/>
  <c r="M239" i="1" s="1"/>
  <c r="O239" i="1" s="1"/>
  <c r="P239" i="1" s="1"/>
  <c r="G239" i="1"/>
  <c r="L238" i="1"/>
  <c r="J238" i="1"/>
  <c r="M238" i="1" s="1"/>
  <c r="O238" i="1" s="1"/>
  <c r="P238" i="1" s="1"/>
  <c r="G238" i="1"/>
  <c r="P237" i="1"/>
  <c r="L237" i="1"/>
  <c r="J237" i="1"/>
  <c r="M237" i="1" s="1"/>
  <c r="O237" i="1" s="1"/>
  <c r="G237" i="1"/>
  <c r="M236" i="1"/>
  <c r="O236" i="1" s="1"/>
  <c r="P236" i="1" s="1"/>
  <c r="L236" i="1"/>
  <c r="J236" i="1"/>
  <c r="G236" i="1"/>
  <c r="L235" i="1"/>
  <c r="J235" i="1"/>
  <c r="M235" i="1" s="1"/>
  <c r="O235" i="1" s="1"/>
  <c r="P235" i="1" s="1"/>
  <c r="G235" i="1"/>
  <c r="L234" i="1"/>
  <c r="J234" i="1"/>
  <c r="M234" i="1" s="1"/>
  <c r="O234" i="1" s="1"/>
  <c r="P234" i="1" s="1"/>
  <c r="G234" i="1"/>
  <c r="L233" i="1"/>
  <c r="J233" i="1"/>
  <c r="M233" i="1" s="1"/>
  <c r="O233" i="1" s="1"/>
  <c r="P233" i="1" s="1"/>
  <c r="G233" i="1"/>
  <c r="M232" i="1"/>
  <c r="O232" i="1" s="1"/>
  <c r="P232" i="1" s="1"/>
  <c r="L232" i="1"/>
  <c r="J232" i="1"/>
  <c r="G232" i="1"/>
  <c r="L231" i="1"/>
  <c r="J231" i="1"/>
  <c r="M231" i="1" s="1"/>
  <c r="O231" i="1" s="1"/>
  <c r="P231" i="1" s="1"/>
  <c r="G231" i="1"/>
  <c r="L230" i="1"/>
  <c r="J230" i="1"/>
  <c r="M230" i="1" s="1"/>
  <c r="O230" i="1" s="1"/>
  <c r="P230" i="1" s="1"/>
  <c r="G230" i="1"/>
  <c r="L229" i="1"/>
  <c r="J229" i="1"/>
  <c r="M229" i="1" s="1"/>
  <c r="O229" i="1" s="1"/>
  <c r="P229" i="1" s="1"/>
  <c r="G229" i="1"/>
  <c r="M228" i="1"/>
  <c r="O228" i="1" s="1"/>
  <c r="P228" i="1" s="1"/>
  <c r="L228" i="1"/>
  <c r="J228" i="1"/>
  <c r="G228" i="1"/>
  <c r="L227" i="1"/>
  <c r="J227" i="1"/>
  <c r="M227" i="1" s="1"/>
  <c r="O227" i="1" s="1"/>
  <c r="P227" i="1" s="1"/>
  <c r="G227" i="1"/>
  <c r="L226" i="1"/>
  <c r="J226" i="1"/>
  <c r="M226" i="1" s="1"/>
  <c r="O226" i="1" s="1"/>
  <c r="P226" i="1" s="1"/>
  <c r="G226" i="1"/>
  <c r="L225" i="1"/>
  <c r="J225" i="1"/>
  <c r="M225" i="1" s="1"/>
  <c r="O225" i="1" s="1"/>
  <c r="P225" i="1" s="1"/>
  <c r="G225" i="1"/>
  <c r="M224" i="1"/>
  <c r="O224" i="1" s="1"/>
  <c r="P224" i="1" s="1"/>
  <c r="L224" i="1"/>
  <c r="J224" i="1"/>
  <c r="G224" i="1"/>
  <c r="L223" i="1"/>
  <c r="J223" i="1"/>
  <c r="M223" i="1" s="1"/>
  <c r="O223" i="1" s="1"/>
  <c r="P223" i="1" s="1"/>
  <c r="G223" i="1"/>
  <c r="L222" i="1"/>
  <c r="J222" i="1"/>
  <c r="M222" i="1" s="1"/>
  <c r="O222" i="1" s="1"/>
  <c r="P222" i="1" s="1"/>
  <c r="G222" i="1"/>
  <c r="P221" i="1"/>
  <c r="L221" i="1"/>
  <c r="M221" i="1" s="1"/>
  <c r="O221" i="1" s="1"/>
  <c r="J221" i="1"/>
  <c r="G221" i="1"/>
  <c r="M220" i="1"/>
  <c r="O220" i="1" s="1"/>
  <c r="P220" i="1" s="1"/>
  <c r="L220" i="1"/>
  <c r="J220" i="1"/>
  <c r="G220" i="1"/>
  <c r="L219" i="1"/>
  <c r="J219" i="1"/>
  <c r="M219" i="1" s="1"/>
  <c r="O219" i="1" s="1"/>
  <c r="P219" i="1" s="1"/>
  <c r="G219" i="1"/>
  <c r="L218" i="1"/>
  <c r="J218" i="1"/>
  <c r="M218" i="1" s="1"/>
  <c r="O218" i="1" s="1"/>
  <c r="P218" i="1" s="1"/>
  <c r="G218" i="1"/>
  <c r="L217" i="1"/>
  <c r="J217" i="1"/>
  <c r="M217" i="1" s="1"/>
  <c r="O217" i="1" s="1"/>
  <c r="P217" i="1" s="1"/>
  <c r="G217" i="1"/>
  <c r="M216" i="1"/>
  <c r="O216" i="1" s="1"/>
  <c r="P216" i="1" s="1"/>
  <c r="L216" i="1"/>
  <c r="J216" i="1"/>
  <c r="G216" i="1"/>
  <c r="L215" i="1"/>
  <c r="J215" i="1"/>
  <c r="M215" i="1" s="1"/>
  <c r="O215" i="1" s="1"/>
  <c r="P215" i="1" s="1"/>
  <c r="G215" i="1"/>
  <c r="L214" i="1"/>
  <c r="J214" i="1"/>
  <c r="M214" i="1" s="1"/>
  <c r="O214" i="1" s="1"/>
  <c r="P214" i="1" s="1"/>
  <c r="G214" i="1"/>
  <c r="P213" i="1"/>
  <c r="L213" i="1"/>
  <c r="J213" i="1"/>
  <c r="M213" i="1" s="1"/>
  <c r="O213" i="1" s="1"/>
  <c r="G213" i="1"/>
  <c r="M212" i="1"/>
  <c r="O212" i="1" s="1"/>
  <c r="P212" i="1" s="1"/>
  <c r="L212" i="1"/>
  <c r="J212" i="1"/>
  <c r="G212" i="1"/>
  <c r="L211" i="1"/>
  <c r="J211" i="1"/>
  <c r="M211" i="1" s="1"/>
  <c r="O211" i="1" s="1"/>
  <c r="P211" i="1" s="1"/>
  <c r="G211" i="1"/>
  <c r="L210" i="1"/>
  <c r="J210" i="1"/>
  <c r="M210" i="1" s="1"/>
  <c r="O210" i="1" s="1"/>
  <c r="P210" i="1" s="1"/>
  <c r="G210" i="1"/>
  <c r="L209" i="1"/>
  <c r="J209" i="1"/>
  <c r="M209" i="1" s="1"/>
  <c r="O209" i="1" s="1"/>
  <c r="P209" i="1" s="1"/>
  <c r="G209" i="1"/>
  <c r="M208" i="1"/>
  <c r="O208" i="1" s="1"/>
  <c r="P208" i="1" s="1"/>
  <c r="L208" i="1"/>
  <c r="J208" i="1"/>
  <c r="G208" i="1"/>
  <c r="M207" i="1"/>
  <c r="O207" i="1" s="1"/>
  <c r="P207" i="1" s="1"/>
  <c r="L207" i="1"/>
  <c r="J207" i="1"/>
  <c r="G207" i="1"/>
  <c r="L206" i="1"/>
  <c r="J206" i="1"/>
  <c r="M206" i="1" s="1"/>
  <c r="O206" i="1" s="1"/>
  <c r="P206" i="1" s="1"/>
  <c r="G206" i="1"/>
  <c r="L205" i="1"/>
  <c r="J205" i="1"/>
  <c r="M205" i="1" s="1"/>
  <c r="O205" i="1" s="1"/>
  <c r="P205" i="1" s="1"/>
  <c r="G205" i="1"/>
  <c r="M204" i="1"/>
  <c r="O204" i="1" s="1"/>
  <c r="P204" i="1" s="1"/>
  <c r="L204" i="1"/>
  <c r="J204" i="1"/>
  <c r="G204" i="1"/>
  <c r="L203" i="1"/>
  <c r="J203" i="1"/>
  <c r="M203" i="1" s="1"/>
  <c r="O203" i="1" s="1"/>
  <c r="P203" i="1" s="1"/>
  <c r="G203" i="1"/>
  <c r="L202" i="1"/>
  <c r="J202" i="1"/>
  <c r="M202" i="1" s="1"/>
  <c r="O202" i="1" s="1"/>
  <c r="P202" i="1" s="1"/>
  <c r="G202" i="1"/>
  <c r="L201" i="1"/>
  <c r="J201" i="1"/>
  <c r="M201" i="1" s="1"/>
  <c r="O201" i="1" s="1"/>
  <c r="P201" i="1" s="1"/>
  <c r="G201" i="1"/>
  <c r="M200" i="1"/>
  <c r="O200" i="1" s="1"/>
  <c r="P200" i="1" s="1"/>
  <c r="L200" i="1"/>
  <c r="J200" i="1"/>
  <c r="G200" i="1"/>
  <c r="M199" i="1"/>
  <c r="O199" i="1" s="1"/>
  <c r="P199" i="1" s="1"/>
  <c r="L199" i="1"/>
  <c r="J199" i="1"/>
  <c r="G199" i="1"/>
  <c r="L198" i="1"/>
  <c r="J198" i="1"/>
  <c r="M198" i="1" s="1"/>
  <c r="O198" i="1" s="1"/>
  <c r="P198" i="1" s="1"/>
  <c r="G198" i="1"/>
  <c r="M197" i="1"/>
  <c r="O197" i="1" s="1"/>
  <c r="P197" i="1" s="1"/>
  <c r="L197" i="1"/>
  <c r="J197" i="1"/>
  <c r="G197" i="1"/>
  <c r="L196" i="1"/>
  <c r="J196" i="1"/>
  <c r="M196" i="1" s="1"/>
  <c r="O196" i="1" s="1"/>
  <c r="P196" i="1" s="1"/>
  <c r="G196" i="1"/>
  <c r="L195" i="1"/>
  <c r="J195" i="1"/>
  <c r="M195" i="1" s="1"/>
  <c r="O195" i="1" s="1"/>
  <c r="P195" i="1" s="1"/>
  <c r="G195" i="1"/>
  <c r="L194" i="1"/>
  <c r="J194" i="1"/>
  <c r="M194" i="1" s="1"/>
  <c r="O194" i="1" s="1"/>
  <c r="P194" i="1" s="1"/>
  <c r="G194" i="1"/>
  <c r="L193" i="1"/>
  <c r="J193" i="1"/>
  <c r="M193" i="1" s="1"/>
  <c r="O193" i="1" s="1"/>
  <c r="P193" i="1" s="1"/>
  <c r="G193" i="1"/>
  <c r="M192" i="1"/>
  <c r="O192" i="1" s="1"/>
  <c r="P192" i="1" s="1"/>
  <c r="L192" i="1"/>
  <c r="J192" i="1"/>
  <c r="G192" i="1"/>
  <c r="M191" i="1"/>
  <c r="O191" i="1" s="1"/>
  <c r="P191" i="1" s="1"/>
  <c r="L191" i="1"/>
  <c r="J191" i="1"/>
  <c r="G191" i="1"/>
  <c r="L190" i="1"/>
  <c r="J190" i="1"/>
  <c r="M190" i="1" s="1"/>
  <c r="O190" i="1" s="1"/>
  <c r="P190" i="1" s="1"/>
  <c r="G190" i="1"/>
  <c r="L189" i="1"/>
  <c r="M189" i="1" s="1"/>
  <c r="O189" i="1" s="1"/>
  <c r="P189" i="1" s="1"/>
  <c r="J189" i="1"/>
  <c r="G189" i="1"/>
  <c r="L188" i="1"/>
  <c r="J188" i="1"/>
  <c r="M188" i="1" s="1"/>
  <c r="O188" i="1" s="1"/>
  <c r="P188" i="1" s="1"/>
  <c r="G188" i="1"/>
  <c r="L187" i="1"/>
  <c r="J187" i="1"/>
  <c r="M187" i="1" s="1"/>
  <c r="O187" i="1" s="1"/>
  <c r="P187" i="1" s="1"/>
  <c r="G187" i="1"/>
  <c r="L186" i="1"/>
  <c r="J186" i="1"/>
  <c r="M186" i="1" s="1"/>
  <c r="O186" i="1" s="1"/>
  <c r="P186" i="1" s="1"/>
  <c r="G186" i="1"/>
  <c r="L185" i="1"/>
  <c r="J185" i="1"/>
  <c r="M185" i="1" s="1"/>
  <c r="O185" i="1" s="1"/>
  <c r="P185" i="1" s="1"/>
  <c r="G185" i="1"/>
  <c r="M184" i="1"/>
  <c r="O184" i="1" s="1"/>
  <c r="P184" i="1" s="1"/>
  <c r="L184" i="1"/>
  <c r="J184" i="1"/>
  <c r="G184" i="1"/>
  <c r="O183" i="1"/>
  <c r="P183" i="1" s="1"/>
  <c r="M183" i="1"/>
  <c r="L183" i="1"/>
  <c r="J183" i="1"/>
  <c r="G183" i="1"/>
  <c r="L182" i="1"/>
  <c r="J182" i="1"/>
  <c r="M182" i="1" s="1"/>
  <c r="O182" i="1" s="1"/>
  <c r="P182" i="1" s="1"/>
  <c r="G182" i="1"/>
  <c r="P181" i="1"/>
  <c r="M181" i="1"/>
  <c r="O181" i="1" s="1"/>
  <c r="L181" i="1"/>
  <c r="J181" i="1"/>
  <c r="G181" i="1"/>
  <c r="M180" i="1"/>
  <c r="O180" i="1" s="1"/>
  <c r="P180" i="1" s="1"/>
  <c r="L180" i="1"/>
  <c r="J180" i="1"/>
  <c r="G180" i="1"/>
  <c r="L179" i="1"/>
  <c r="J179" i="1"/>
  <c r="M179" i="1" s="1"/>
  <c r="O179" i="1" s="1"/>
  <c r="P179" i="1" s="1"/>
  <c r="G179" i="1"/>
  <c r="L178" i="1"/>
  <c r="J178" i="1"/>
  <c r="M178" i="1" s="1"/>
  <c r="O178" i="1" s="1"/>
  <c r="P178" i="1" s="1"/>
  <c r="G178" i="1"/>
  <c r="L177" i="1"/>
  <c r="J177" i="1"/>
  <c r="M177" i="1" s="1"/>
  <c r="O177" i="1" s="1"/>
  <c r="P177" i="1" s="1"/>
  <c r="G177" i="1"/>
  <c r="M176" i="1"/>
  <c r="O176" i="1" s="1"/>
  <c r="P176" i="1" s="1"/>
  <c r="L176" i="1"/>
  <c r="J176" i="1"/>
  <c r="G176" i="1"/>
  <c r="O175" i="1"/>
  <c r="P175" i="1" s="1"/>
  <c r="M175" i="1"/>
  <c r="L175" i="1"/>
  <c r="J175" i="1"/>
  <c r="G175" i="1"/>
  <c r="L174" i="1"/>
  <c r="J174" i="1"/>
  <c r="M174" i="1" s="1"/>
  <c r="O174" i="1" s="1"/>
  <c r="P174" i="1" s="1"/>
  <c r="G174" i="1"/>
  <c r="M173" i="1"/>
  <c r="O173" i="1" s="1"/>
  <c r="P173" i="1" s="1"/>
  <c r="L173" i="1"/>
  <c r="J173" i="1"/>
  <c r="G173" i="1"/>
  <c r="M172" i="1"/>
  <c r="O172" i="1" s="1"/>
  <c r="P172" i="1" s="1"/>
  <c r="L172" i="1"/>
  <c r="J172" i="1"/>
  <c r="G172" i="1"/>
  <c r="L171" i="1"/>
  <c r="J171" i="1"/>
  <c r="M171" i="1" s="1"/>
  <c r="O171" i="1" s="1"/>
  <c r="P171" i="1" s="1"/>
  <c r="G171" i="1"/>
  <c r="L170" i="1"/>
  <c r="J170" i="1"/>
  <c r="M170" i="1" s="1"/>
  <c r="O170" i="1" s="1"/>
  <c r="P170" i="1" s="1"/>
  <c r="G170" i="1"/>
  <c r="L169" i="1"/>
  <c r="J169" i="1"/>
  <c r="M169" i="1" s="1"/>
  <c r="O169" i="1" s="1"/>
  <c r="P169" i="1" s="1"/>
  <c r="G169" i="1"/>
  <c r="M168" i="1"/>
  <c r="O168" i="1" s="1"/>
  <c r="P168" i="1" s="1"/>
  <c r="L168" i="1"/>
  <c r="J168" i="1"/>
  <c r="G168" i="1"/>
  <c r="O167" i="1"/>
  <c r="P167" i="1" s="1"/>
  <c r="M167" i="1"/>
  <c r="L167" i="1"/>
  <c r="J167" i="1"/>
  <c r="G167" i="1"/>
  <c r="L166" i="1"/>
  <c r="J166" i="1"/>
  <c r="M166" i="1" s="1"/>
  <c r="O166" i="1" s="1"/>
  <c r="P166" i="1" s="1"/>
  <c r="G166" i="1"/>
  <c r="P165" i="1"/>
  <c r="M165" i="1"/>
  <c r="O165" i="1" s="1"/>
  <c r="L165" i="1"/>
  <c r="J165" i="1"/>
  <c r="G165" i="1"/>
  <c r="M164" i="1"/>
  <c r="O164" i="1" s="1"/>
  <c r="P164" i="1" s="1"/>
  <c r="L164" i="1"/>
  <c r="J164" i="1"/>
  <c r="G164" i="1"/>
  <c r="O163" i="1"/>
  <c r="P163" i="1" s="1"/>
  <c r="L163" i="1"/>
  <c r="J163" i="1"/>
  <c r="M163" i="1" s="1"/>
  <c r="G163" i="1"/>
  <c r="L162" i="1"/>
  <c r="J162" i="1"/>
  <c r="M162" i="1" s="1"/>
  <c r="O162" i="1" s="1"/>
  <c r="P162" i="1" s="1"/>
  <c r="G162" i="1"/>
  <c r="L161" i="1"/>
  <c r="J161" i="1"/>
  <c r="M161" i="1" s="1"/>
  <c r="O161" i="1" s="1"/>
  <c r="P161" i="1" s="1"/>
  <c r="G161" i="1"/>
  <c r="O160" i="1"/>
  <c r="P160" i="1" s="1"/>
  <c r="M160" i="1"/>
  <c r="L160" i="1"/>
  <c r="J160" i="1"/>
  <c r="G160" i="1"/>
  <c r="O159" i="1"/>
  <c r="P159" i="1" s="1"/>
  <c r="M159" i="1"/>
  <c r="L159" i="1"/>
  <c r="J159" i="1"/>
  <c r="G159" i="1"/>
  <c r="L158" i="1"/>
  <c r="J158" i="1"/>
  <c r="G158" i="1"/>
  <c r="M157" i="1"/>
  <c r="O157" i="1" s="1"/>
  <c r="P157" i="1" s="1"/>
  <c r="L157" i="1"/>
  <c r="J157" i="1"/>
  <c r="G157" i="1"/>
  <c r="L156" i="1"/>
  <c r="J156" i="1"/>
  <c r="M156" i="1" s="1"/>
  <c r="O156" i="1" s="1"/>
  <c r="P156" i="1" s="1"/>
  <c r="G156" i="1"/>
  <c r="L155" i="1"/>
  <c r="J155" i="1"/>
  <c r="M155" i="1" s="1"/>
  <c r="O155" i="1" s="1"/>
  <c r="P155" i="1" s="1"/>
  <c r="G155" i="1"/>
  <c r="L154" i="1"/>
  <c r="J154" i="1"/>
  <c r="M154" i="1" s="1"/>
  <c r="O154" i="1" s="1"/>
  <c r="P154" i="1" s="1"/>
  <c r="G154" i="1"/>
  <c r="L153" i="1"/>
  <c r="J153" i="1"/>
  <c r="M153" i="1" s="1"/>
  <c r="O153" i="1" s="1"/>
  <c r="P153" i="1" s="1"/>
  <c r="G153" i="1"/>
  <c r="M152" i="1"/>
  <c r="O152" i="1" s="1"/>
  <c r="P152" i="1" s="1"/>
  <c r="L152" i="1"/>
  <c r="J152" i="1"/>
  <c r="G152" i="1"/>
  <c r="O151" i="1"/>
  <c r="P151" i="1" s="1"/>
  <c r="M151" i="1"/>
  <c r="L151" i="1"/>
  <c r="J151" i="1"/>
  <c r="G151" i="1"/>
  <c r="L150" i="1"/>
  <c r="J150" i="1"/>
  <c r="M150" i="1" s="1"/>
  <c r="O150" i="1" s="1"/>
  <c r="P150" i="1" s="1"/>
  <c r="G150" i="1"/>
  <c r="P149" i="1"/>
  <c r="M149" i="1"/>
  <c r="O149" i="1" s="1"/>
  <c r="L149" i="1"/>
  <c r="J149" i="1"/>
  <c r="G149" i="1"/>
  <c r="L148" i="1"/>
  <c r="M148" i="1" s="1"/>
  <c r="O148" i="1" s="1"/>
  <c r="P148" i="1" s="1"/>
  <c r="J148" i="1"/>
  <c r="G148" i="1"/>
  <c r="L147" i="1"/>
  <c r="J147" i="1"/>
  <c r="M147" i="1" s="1"/>
  <c r="O147" i="1" s="1"/>
  <c r="P147" i="1" s="1"/>
  <c r="G147" i="1"/>
  <c r="L146" i="1"/>
  <c r="J146" i="1"/>
  <c r="M146" i="1" s="1"/>
  <c r="O146" i="1" s="1"/>
  <c r="P146" i="1" s="1"/>
  <c r="G146" i="1"/>
  <c r="L145" i="1"/>
  <c r="J145" i="1"/>
  <c r="M145" i="1" s="1"/>
  <c r="O145" i="1" s="1"/>
  <c r="P145" i="1" s="1"/>
  <c r="G145" i="1"/>
  <c r="O144" i="1"/>
  <c r="P144" i="1" s="1"/>
  <c r="M144" i="1"/>
  <c r="L144" i="1"/>
  <c r="J144" i="1"/>
  <c r="G144" i="1"/>
  <c r="O143" i="1"/>
  <c r="P143" i="1" s="1"/>
  <c r="M143" i="1"/>
  <c r="L143" i="1"/>
  <c r="J143" i="1"/>
  <c r="G143" i="1"/>
  <c r="L142" i="1"/>
  <c r="M142" i="1" s="1"/>
  <c r="O142" i="1" s="1"/>
  <c r="P142" i="1" s="1"/>
  <c r="J142" i="1"/>
  <c r="G142" i="1"/>
  <c r="M141" i="1"/>
  <c r="O141" i="1" s="1"/>
  <c r="P141" i="1" s="1"/>
  <c r="L141" i="1"/>
  <c r="J141" i="1"/>
  <c r="G141" i="1"/>
  <c r="L140" i="1"/>
  <c r="J140" i="1"/>
  <c r="M140" i="1" s="1"/>
  <c r="O140" i="1" s="1"/>
  <c r="P140" i="1" s="1"/>
  <c r="G140" i="1"/>
  <c r="L139" i="1"/>
  <c r="J139" i="1"/>
  <c r="M139" i="1" s="1"/>
  <c r="O139" i="1" s="1"/>
  <c r="P139" i="1" s="1"/>
  <c r="G139" i="1"/>
  <c r="L138" i="1"/>
  <c r="J138" i="1"/>
  <c r="G138" i="1"/>
  <c r="L137" i="1"/>
  <c r="J137" i="1"/>
  <c r="M137" i="1" s="1"/>
  <c r="O137" i="1" s="1"/>
  <c r="P137" i="1" s="1"/>
  <c r="G137" i="1"/>
  <c r="M136" i="1"/>
  <c r="O136" i="1" s="1"/>
  <c r="P136" i="1" s="1"/>
  <c r="L136" i="1"/>
  <c r="J136" i="1"/>
  <c r="G136" i="1"/>
  <c r="M135" i="1"/>
  <c r="O135" i="1" s="1"/>
  <c r="P135" i="1" s="1"/>
  <c r="L135" i="1"/>
  <c r="J135" i="1"/>
  <c r="G135" i="1"/>
  <c r="L134" i="1"/>
  <c r="J134" i="1"/>
  <c r="M134" i="1" s="1"/>
  <c r="O134" i="1" s="1"/>
  <c r="P134" i="1" s="1"/>
  <c r="G134" i="1"/>
  <c r="M133" i="1"/>
  <c r="O133" i="1" s="1"/>
  <c r="P133" i="1" s="1"/>
  <c r="L133" i="1"/>
  <c r="J133" i="1"/>
  <c r="G133" i="1"/>
  <c r="L132" i="1"/>
  <c r="J132" i="1"/>
  <c r="M132" i="1" s="1"/>
  <c r="O132" i="1" s="1"/>
  <c r="P132" i="1" s="1"/>
  <c r="G132" i="1"/>
  <c r="L131" i="1"/>
  <c r="J131" i="1"/>
  <c r="M131" i="1" s="1"/>
  <c r="O131" i="1" s="1"/>
  <c r="P131" i="1" s="1"/>
  <c r="G131" i="1"/>
  <c r="M130" i="1"/>
  <c r="O130" i="1" s="1"/>
  <c r="P130" i="1" s="1"/>
  <c r="L130" i="1"/>
  <c r="J130" i="1"/>
  <c r="G130" i="1"/>
  <c r="L129" i="1"/>
  <c r="M129" i="1" s="1"/>
  <c r="O129" i="1" s="1"/>
  <c r="P129" i="1" s="1"/>
  <c r="J129" i="1"/>
  <c r="G129" i="1"/>
  <c r="M128" i="1"/>
  <c r="O128" i="1" s="1"/>
  <c r="P128" i="1" s="1"/>
  <c r="L128" i="1"/>
  <c r="J128" i="1"/>
  <c r="G128" i="1"/>
  <c r="L127" i="1"/>
  <c r="J127" i="1"/>
  <c r="M127" i="1" s="1"/>
  <c r="O127" i="1" s="1"/>
  <c r="P127" i="1" s="1"/>
  <c r="G127" i="1"/>
  <c r="O126" i="1"/>
  <c r="P126" i="1" s="1"/>
  <c r="M126" i="1"/>
  <c r="L126" i="1"/>
  <c r="J126" i="1"/>
  <c r="G126" i="1"/>
  <c r="L125" i="1"/>
  <c r="J125" i="1"/>
  <c r="M125" i="1" s="1"/>
  <c r="O125" i="1" s="1"/>
  <c r="P125" i="1" s="1"/>
  <c r="G125" i="1"/>
  <c r="L124" i="1"/>
  <c r="J124" i="1"/>
  <c r="M124" i="1" s="1"/>
  <c r="O124" i="1" s="1"/>
  <c r="P124" i="1" s="1"/>
  <c r="G124" i="1"/>
  <c r="L123" i="1"/>
  <c r="J123" i="1"/>
  <c r="M123" i="1" s="1"/>
  <c r="O123" i="1" s="1"/>
  <c r="P123" i="1" s="1"/>
  <c r="G123" i="1"/>
  <c r="M122" i="1"/>
  <c r="O122" i="1" s="1"/>
  <c r="P122" i="1" s="1"/>
  <c r="L122" i="1"/>
  <c r="J122" i="1"/>
  <c r="G122" i="1"/>
  <c r="L121" i="1"/>
  <c r="M121" i="1" s="1"/>
  <c r="O121" i="1" s="1"/>
  <c r="P121" i="1" s="1"/>
  <c r="J121" i="1"/>
  <c r="G121" i="1"/>
  <c r="M120" i="1"/>
  <c r="O120" i="1" s="1"/>
  <c r="P120" i="1" s="1"/>
  <c r="L120" i="1"/>
  <c r="J120" i="1"/>
  <c r="G120" i="1"/>
  <c r="L119" i="1"/>
  <c r="J119" i="1"/>
  <c r="M119" i="1" s="1"/>
  <c r="O119" i="1" s="1"/>
  <c r="P119" i="1" s="1"/>
  <c r="G119" i="1"/>
  <c r="O118" i="1"/>
  <c r="P118" i="1" s="1"/>
  <c r="M118" i="1"/>
  <c r="L118" i="1"/>
  <c r="J118" i="1"/>
  <c r="G118" i="1"/>
  <c r="L117" i="1"/>
  <c r="J117" i="1"/>
  <c r="M117" i="1" s="1"/>
  <c r="O117" i="1" s="1"/>
  <c r="P117" i="1" s="1"/>
  <c r="G117" i="1"/>
  <c r="L116" i="1"/>
  <c r="J116" i="1"/>
  <c r="M116" i="1" s="1"/>
  <c r="O116" i="1" s="1"/>
  <c r="P116" i="1" s="1"/>
  <c r="G116" i="1"/>
  <c r="L115" i="1"/>
  <c r="J115" i="1"/>
  <c r="M115" i="1" s="1"/>
  <c r="O115" i="1" s="1"/>
  <c r="P115" i="1" s="1"/>
  <c r="G115" i="1"/>
  <c r="M114" i="1"/>
  <c r="O114" i="1" s="1"/>
  <c r="P114" i="1" s="1"/>
  <c r="L114" i="1"/>
  <c r="J114" i="1"/>
  <c r="G114" i="1"/>
  <c r="L113" i="1"/>
  <c r="M113" i="1" s="1"/>
  <c r="O113" i="1" s="1"/>
  <c r="P113" i="1" s="1"/>
  <c r="J113" i="1"/>
  <c r="G113" i="1"/>
  <c r="M112" i="1"/>
  <c r="O112" i="1" s="1"/>
  <c r="P112" i="1" s="1"/>
  <c r="L112" i="1"/>
  <c r="J112" i="1"/>
  <c r="G112" i="1"/>
  <c r="L111" i="1"/>
  <c r="J111" i="1"/>
  <c r="M111" i="1" s="1"/>
  <c r="O111" i="1" s="1"/>
  <c r="P111" i="1" s="1"/>
  <c r="G111" i="1"/>
  <c r="O110" i="1"/>
  <c r="P110" i="1" s="1"/>
  <c r="M110" i="1"/>
  <c r="L110" i="1"/>
  <c r="J110" i="1"/>
  <c r="G110" i="1"/>
  <c r="L109" i="1"/>
  <c r="J109" i="1"/>
  <c r="M109" i="1" s="1"/>
  <c r="O109" i="1" s="1"/>
  <c r="P109" i="1" s="1"/>
  <c r="G109" i="1"/>
  <c r="L108" i="1"/>
  <c r="J108" i="1"/>
  <c r="M108" i="1" s="1"/>
  <c r="O108" i="1" s="1"/>
  <c r="P108" i="1" s="1"/>
  <c r="G108" i="1"/>
  <c r="L107" i="1"/>
  <c r="J107" i="1"/>
  <c r="M107" i="1" s="1"/>
  <c r="O107" i="1" s="1"/>
  <c r="P107" i="1" s="1"/>
  <c r="G107" i="1"/>
  <c r="M106" i="1"/>
  <c r="O106" i="1" s="1"/>
  <c r="P106" i="1" s="1"/>
  <c r="L106" i="1"/>
  <c r="J106" i="1"/>
  <c r="G106" i="1"/>
  <c r="L105" i="1"/>
  <c r="M105" i="1" s="1"/>
  <c r="O105" i="1" s="1"/>
  <c r="P105" i="1" s="1"/>
  <c r="J105" i="1"/>
  <c r="G105" i="1"/>
  <c r="M104" i="1"/>
  <c r="O104" i="1" s="1"/>
  <c r="P104" i="1" s="1"/>
  <c r="L104" i="1"/>
  <c r="J104" i="1"/>
  <c r="G104" i="1"/>
  <c r="L103" i="1"/>
  <c r="J103" i="1"/>
  <c r="M103" i="1" s="1"/>
  <c r="O103" i="1" s="1"/>
  <c r="P103" i="1" s="1"/>
  <c r="G103" i="1"/>
  <c r="O102" i="1"/>
  <c r="P102" i="1" s="1"/>
  <c r="M102" i="1"/>
  <c r="L102" i="1"/>
  <c r="J102" i="1"/>
  <c r="G102" i="1"/>
  <c r="L101" i="1"/>
  <c r="J101" i="1"/>
  <c r="M101" i="1" s="1"/>
  <c r="O101" i="1" s="1"/>
  <c r="P101" i="1" s="1"/>
  <c r="G101" i="1"/>
  <c r="L100" i="1"/>
  <c r="J100" i="1"/>
  <c r="M100" i="1" s="1"/>
  <c r="O100" i="1" s="1"/>
  <c r="P100" i="1" s="1"/>
  <c r="G100" i="1"/>
  <c r="L99" i="1"/>
  <c r="J99" i="1"/>
  <c r="M99" i="1" s="1"/>
  <c r="O99" i="1" s="1"/>
  <c r="P99" i="1" s="1"/>
  <c r="G99" i="1"/>
  <c r="M98" i="1"/>
  <c r="O98" i="1" s="1"/>
  <c r="P98" i="1" s="1"/>
  <c r="L98" i="1"/>
  <c r="J98" i="1"/>
  <c r="G98" i="1"/>
  <c r="L97" i="1"/>
  <c r="M97" i="1" s="1"/>
  <c r="O97" i="1" s="1"/>
  <c r="P97" i="1" s="1"/>
  <c r="J97" i="1"/>
  <c r="G97" i="1"/>
  <c r="M96" i="1"/>
  <c r="O96" i="1" s="1"/>
  <c r="P96" i="1" s="1"/>
  <c r="L96" i="1"/>
  <c r="J96" i="1"/>
  <c r="G96" i="1"/>
  <c r="L95" i="1"/>
  <c r="J95" i="1"/>
  <c r="M95" i="1" s="1"/>
  <c r="O95" i="1" s="1"/>
  <c r="P95" i="1" s="1"/>
  <c r="G95" i="1"/>
  <c r="O94" i="1"/>
  <c r="P94" i="1" s="1"/>
  <c r="M94" i="1"/>
  <c r="L94" i="1"/>
  <c r="J94" i="1"/>
  <c r="G94" i="1"/>
  <c r="L93" i="1"/>
  <c r="J93" i="1"/>
  <c r="M93" i="1" s="1"/>
  <c r="O93" i="1" s="1"/>
  <c r="P93" i="1" s="1"/>
  <c r="G93" i="1"/>
  <c r="L92" i="1"/>
  <c r="J92" i="1"/>
  <c r="M92" i="1" s="1"/>
  <c r="O92" i="1" s="1"/>
  <c r="P92" i="1" s="1"/>
  <c r="G92" i="1"/>
  <c r="L91" i="1"/>
  <c r="J91" i="1"/>
  <c r="M91" i="1" s="1"/>
  <c r="O91" i="1" s="1"/>
  <c r="P91" i="1" s="1"/>
  <c r="G91" i="1"/>
  <c r="M90" i="1"/>
  <c r="O90" i="1" s="1"/>
  <c r="P90" i="1" s="1"/>
  <c r="L90" i="1"/>
  <c r="J90" i="1"/>
  <c r="G90" i="1"/>
  <c r="L89" i="1"/>
  <c r="M89" i="1" s="1"/>
  <c r="O89" i="1" s="1"/>
  <c r="P89" i="1" s="1"/>
  <c r="J89" i="1"/>
  <c r="G89" i="1"/>
  <c r="M88" i="1"/>
  <c r="O88" i="1" s="1"/>
  <c r="P88" i="1" s="1"/>
  <c r="L88" i="1"/>
  <c r="J88" i="1"/>
  <c r="G88" i="1"/>
  <c r="L87" i="1"/>
  <c r="J87" i="1"/>
  <c r="M87" i="1" s="1"/>
  <c r="O87" i="1" s="1"/>
  <c r="P87" i="1" s="1"/>
  <c r="G87" i="1"/>
  <c r="O86" i="1"/>
  <c r="P86" i="1" s="1"/>
  <c r="M86" i="1"/>
  <c r="L86" i="1"/>
  <c r="J86" i="1"/>
  <c r="G86" i="1"/>
  <c r="L85" i="1"/>
  <c r="J85" i="1"/>
  <c r="M85" i="1" s="1"/>
  <c r="O85" i="1" s="1"/>
  <c r="P85" i="1" s="1"/>
  <c r="G85" i="1"/>
  <c r="L84" i="1"/>
  <c r="J84" i="1"/>
  <c r="M84" i="1" s="1"/>
  <c r="O84" i="1" s="1"/>
  <c r="P84" i="1" s="1"/>
  <c r="G84" i="1"/>
  <c r="L83" i="1"/>
  <c r="J83" i="1"/>
  <c r="M83" i="1" s="1"/>
  <c r="O83" i="1" s="1"/>
  <c r="P83" i="1" s="1"/>
  <c r="G83" i="1"/>
  <c r="M82" i="1"/>
  <c r="O82" i="1" s="1"/>
  <c r="P82" i="1" s="1"/>
  <c r="L82" i="1"/>
  <c r="J82" i="1"/>
  <c r="G82" i="1"/>
  <c r="L81" i="1"/>
  <c r="M81" i="1" s="1"/>
  <c r="O81" i="1" s="1"/>
  <c r="P81" i="1" s="1"/>
  <c r="J81" i="1"/>
  <c r="G81" i="1"/>
  <c r="M80" i="1"/>
  <c r="O80" i="1" s="1"/>
  <c r="P80" i="1" s="1"/>
  <c r="L80" i="1"/>
  <c r="J80" i="1"/>
  <c r="G80" i="1"/>
  <c r="L79" i="1"/>
  <c r="J79" i="1"/>
  <c r="M79" i="1" s="1"/>
  <c r="O79" i="1" s="1"/>
  <c r="P79" i="1" s="1"/>
  <c r="G79" i="1"/>
  <c r="O78" i="1"/>
  <c r="P78" i="1" s="1"/>
  <c r="M78" i="1"/>
  <c r="L78" i="1"/>
  <c r="J78" i="1"/>
  <c r="G78" i="1"/>
  <c r="L77" i="1"/>
  <c r="J77" i="1"/>
  <c r="M77" i="1" s="1"/>
  <c r="O77" i="1" s="1"/>
  <c r="P77" i="1" s="1"/>
  <c r="G77" i="1"/>
  <c r="L76" i="1"/>
  <c r="J76" i="1"/>
  <c r="M76" i="1" s="1"/>
  <c r="O76" i="1" s="1"/>
  <c r="P76" i="1" s="1"/>
  <c r="G76" i="1"/>
  <c r="L75" i="1"/>
  <c r="J75" i="1"/>
  <c r="M75" i="1" s="1"/>
  <c r="O75" i="1" s="1"/>
  <c r="P75" i="1" s="1"/>
  <c r="G75" i="1"/>
  <c r="M74" i="1"/>
  <c r="O74" i="1" s="1"/>
  <c r="P74" i="1" s="1"/>
  <c r="L74" i="1"/>
  <c r="J74" i="1"/>
  <c r="G74" i="1"/>
  <c r="L73" i="1"/>
  <c r="M73" i="1" s="1"/>
  <c r="O73" i="1" s="1"/>
  <c r="P73" i="1" s="1"/>
  <c r="J73" i="1"/>
  <c r="G73" i="1"/>
  <c r="M72" i="1"/>
  <c r="O72" i="1" s="1"/>
  <c r="P72" i="1" s="1"/>
  <c r="L72" i="1"/>
  <c r="J72" i="1"/>
  <c r="G72" i="1"/>
  <c r="L71" i="1"/>
  <c r="J71" i="1"/>
  <c r="M71" i="1" s="1"/>
  <c r="O71" i="1" s="1"/>
  <c r="P71" i="1" s="1"/>
  <c r="G71" i="1"/>
  <c r="O70" i="1"/>
  <c r="P70" i="1" s="1"/>
  <c r="M70" i="1"/>
  <c r="L70" i="1"/>
  <c r="J70" i="1"/>
  <c r="G70" i="1"/>
  <c r="L69" i="1"/>
  <c r="J69" i="1"/>
  <c r="M69" i="1" s="1"/>
  <c r="O69" i="1" s="1"/>
  <c r="P69" i="1" s="1"/>
  <c r="G69" i="1"/>
  <c r="L68" i="1"/>
  <c r="J68" i="1"/>
  <c r="M68" i="1" s="1"/>
  <c r="O68" i="1" s="1"/>
  <c r="P68" i="1" s="1"/>
  <c r="G68" i="1"/>
  <c r="L67" i="1"/>
  <c r="J67" i="1"/>
  <c r="M67" i="1" s="1"/>
  <c r="O67" i="1" s="1"/>
  <c r="P67" i="1" s="1"/>
  <c r="G67" i="1"/>
  <c r="M66" i="1"/>
  <c r="O66" i="1" s="1"/>
  <c r="P66" i="1" s="1"/>
  <c r="L66" i="1"/>
  <c r="J66" i="1"/>
  <c r="G66" i="1"/>
  <c r="L65" i="1"/>
  <c r="M65" i="1" s="1"/>
  <c r="O65" i="1" s="1"/>
  <c r="P65" i="1" s="1"/>
  <c r="J65" i="1"/>
  <c r="G65" i="1"/>
  <c r="M64" i="1"/>
  <c r="O64" i="1" s="1"/>
  <c r="P64" i="1" s="1"/>
  <c r="L64" i="1"/>
  <c r="J64" i="1"/>
  <c r="G64" i="1"/>
  <c r="L63" i="1"/>
  <c r="J63" i="1"/>
  <c r="M63" i="1" s="1"/>
  <c r="O63" i="1" s="1"/>
  <c r="P63" i="1" s="1"/>
  <c r="G63" i="1"/>
  <c r="O62" i="1"/>
  <c r="P62" i="1" s="1"/>
  <c r="M62" i="1"/>
  <c r="L62" i="1"/>
  <c r="J62" i="1"/>
  <c r="G62" i="1"/>
  <c r="L61" i="1"/>
  <c r="J61" i="1"/>
  <c r="M61" i="1" s="1"/>
  <c r="O61" i="1" s="1"/>
  <c r="P61" i="1" s="1"/>
  <c r="G61" i="1"/>
  <c r="L60" i="1"/>
  <c r="J60" i="1"/>
  <c r="M60" i="1" s="1"/>
  <c r="O60" i="1" s="1"/>
  <c r="P60" i="1" s="1"/>
  <c r="G60" i="1"/>
  <c r="L59" i="1"/>
  <c r="J59" i="1"/>
  <c r="M59" i="1" s="1"/>
  <c r="O59" i="1" s="1"/>
  <c r="P59" i="1" s="1"/>
  <c r="G59" i="1"/>
  <c r="M58" i="1"/>
  <c r="O58" i="1" s="1"/>
  <c r="P58" i="1" s="1"/>
  <c r="L58" i="1"/>
  <c r="J58" i="1"/>
  <c r="G58" i="1"/>
  <c r="L57" i="1"/>
  <c r="M57" i="1" s="1"/>
  <c r="O57" i="1" s="1"/>
  <c r="P57" i="1" s="1"/>
  <c r="J57" i="1"/>
  <c r="G57" i="1"/>
  <c r="M56" i="1"/>
  <c r="O56" i="1" s="1"/>
  <c r="P56" i="1" s="1"/>
  <c r="L56" i="1"/>
  <c r="J56" i="1"/>
  <c r="G56" i="1"/>
  <c r="L55" i="1"/>
  <c r="J55" i="1"/>
  <c r="M55" i="1" s="1"/>
  <c r="O55" i="1" s="1"/>
  <c r="P55" i="1" s="1"/>
  <c r="G55" i="1"/>
  <c r="O54" i="1"/>
  <c r="P54" i="1" s="1"/>
  <c r="M54" i="1"/>
  <c r="L54" i="1"/>
  <c r="J54" i="1"/>
  <c r="G54" i="1"/>
  <c r="L53" i="1"/>
  <c r="J53" i="1"/>
  <c r="M53" i="1" s="1"/>
  <c r="O53" i="1" s="1"/>
  <c r="P53" i="1" s="1"/>
  <c r="G53" i="1"/>
  <c r="L52" i="1"/>
  <c r="J52" i="1"/>
  <c r="M52" i="1" s="1"/>
  <c r="O52" i="1" s="1"/>
  <c r="P52" i="1" s="1"/>
  <c r="G52" i="1"/>
  <c r="L51" i="1"/>
  <c r="J51" i="1"/>
  <c r="M51" i="1" s="1"/>
  <c r="O51" i="1" s="1"/>
  <c r="P51" i="1" s="1"/>
  <c r="G51" i="1"/>
  <c r="M50" i="1"/>
  <c r="O50" i="1" s="1"/>
  <c r="P50" i="1" s="1"/>
  <c r="L50" i="1"/>
  <c r="J50" i="1"/>
  <c r="G50" i="1"/>
  <c r="L49" i="1"/>
  <c r="M49" i="1" s="1"/>
  <c r="O49" i="1" s="1"/>
  <c r="P49" i="1" s="1"/>
  <c r="J49" i="1"/>
  <c r="G49" i="1"/>
  <c r="M48" i="1"/>
  <c r="O48" i="1" s="1"/>
  <c r="P48" i="1" s="1"/>
  <c r="L48" i="1"/>
  <c r="J48" i="1"/>
  <c r="G48" i="1"/>
  <c r="L47" i="1"/>
  <c r="J47" i="1"/>
  <c r="M47" i="1" s="1"/>
  <c r="O47" i="1" s="1"/>
  <c r="P47" i="1" s="1"/>
  <c r="G47" i="1"/>
  <c r="O46" i="1"/>
  <c r="P46" i="1" s="1"/>
  <c r="M46" i="1"/>
  <c r="L46" i="1"/>
  <c r="J46" i="1"/>
  <c r="G46" i="1"/>
  <c r="L45" i="1"/>
  <c r="J45" i="1"/>
  <c r="M45" i="1" s="1"/>
  <c r="O45" i="1" s="1"/>
  <c r="P45" i="1" s="1"/>
  <c r="G45" i="1"/>
  <c r="L44" i="1"/>
  <c r="J44" i="1"/>
  <c r="M44" i="1" s="1"/>
  <c r="O44" i="1" s="1"/>
  <c r="P44" i="1" s="1"/>
  <c r="G44" i="1"/>
  <c r="L43" i="1"/>
  <c r="J43" i="1"/>
  <c r="M43" i="1" s="1"/>
  <c r="O43" i="1" s="1"/>
  <c r="P43" i="1" s="1"/>
  <c r="G43" i="1"/>
  <c r="M42" i="1"/>
  <c r="O42" i="1" s="1"/>
  <c r="P42" i="1" s="1"/>
  <c r="L42" i="1"/>
  <c r="J42" i="1"/>
  <c r="G42" i="1"/>
  <c r="L41" i="1"/>
  <c r="M41" i="1" s="1"/>
  <c r="O41" i="1" s="1"/>
  <c r="P41" i="1" s="1"/>
  <c r="J41" i="1"/>
  <c r="G41" i="1"/>
  <c r="M40" i="1"/>
  <c r="O40" i="1" s="1"/>
  <c r="P40" i="1" s="1"/>
  <c r="L40" i="1"/>
  <c r="J40" i="1"/>
  <c r="G40" i="1"/>
  <c r="L39" i="1"/>
  <c r="J39" i="1"/>
  <c r="M39" i="1" s="1"/>
  <c r="O39" i="1" s="1"/>
  <c r="P39" i="1" s="1"/>
  <c r="G39" i="1"/>
  <c r="O38" i="1"/>
  <c r="P38" i="1" s="1"/>
  <c r="M38" i="1"/>
  <c r="L38" i="1"/>
  <c r="J38" i="1"/>
  <c r="G38" i="1"/>
  <c r="L37" i="1"/>
  <c r="J37" i="1"/>
  <c r="M37" i="1" s="1"/>
  <c r="O37" i="1" s="1"/>
  <c r="P37" i="1" s="1"/>
  <c r="G37" i="1"/>
  <c r="L36" i="1"/>
  <c r="J36" i="1"/>
  <c r="M36" i="1" s="1"/>
  <c r="O36" i="1" s="1"/>
  <c r="P36" i="1" s="1"/>
  <c r="G36" i="1"/>
  <c r="L35" i="1"/>
  <c r="J35" i="1"/>
  <c r="M35" i="1" s="1"/>
  <c r="O35" i="1" s="1"/>
  <c r="P35" i="1" s="1"/>
  <c r="G35" i="1"/>
  <c r="M34" i="1"/>
  <c r="O34" i="1" s="1"/>
  <c r="P34" i="1" s="1"/>
  <c r="L34" i="1"/>
  <c r="J34" i="1"/>
  <c r="G34" i="1"/>
  <c r="L33" i="1"/>
  <c r="M33" i="1" s="1"/>
  <c r="O33" i="1" s="1"/>
  <c r="P33" i="1" s="1"/>
  <c r="J33" i="1"/>
  <c r="G33" i="1"/>
  <c r="M32" i="1"/>
  <c r="O32" i="1" s="1"/>
  <c r="P32" i="1" s="1"/>
  <c r="L32" i="1"/>
  <c r="J32" i="1"/>
  <c r="G32" i="1"/>
  <c r="L31" i="1"/>
  <c r="J31" i="1"/>
  <c r="M31" i="1" s="1"/>
  <c r="O31" i="1" s="1"/>
  <c r="P31" i="1" s="1"/>
  <c r="G31" i="1"/>
  <c r="O30" i="1"/>
  <c r="P30" i="1" s="1"/>
  <c r="M30" i="1"/>
  <c r="L30" i="1"/>
  <c r="J30" i="1"/>
  <c r="G30" i="1"/>
  <c r="L29" i="1"/>
  <c r="J29" i="1"/>
  <c r="M29" i="1" s="1"/>
  <c r="O29" i="1" s="1"/>
  <c r="P29" i="1" s="1"/>
  <c r="G29" i="1"/>
  <c r="L28" i="1"/>
  <c r="J28" i="1"/>
  <c r="M28" i="1" s="1"/>
  <c r="O28" i="1" s="1"/>
  <c r="P28" i="1" s="1"/>
  <c r="G28" i="1"/>
  <c r="L27" i="1"/>
  <c r="J27" i="1"/>
  <c r="M27" i="1" s="1"/>
  <c r="O27" i="1" s="1"/>
  <c r="P27" i="1" s="1"/>
  <c r="G27" i="1"/>
  <c r="M26" i="1"/>
  <c r="O26" i="1" s="1"/>
  <c r="P26" i="1" s="1"/>
  <c r="L26" i="1"/>
  <c r="J26" i="1"/>
  <c r="G26" i="1"/>
  <c r="L25" i="1"/>
  <c r="M25" i="1" s="1"/>
  <c r="O25" i="1" s="1"/>
  <c r="P25" i="1" s="1"/>
  <c r="J25" i="1"/>
  <c r="G25" i="1"/>
  <c r="M24" i="1"/>
  <c r="O24" i="1" s="1"/>
  <c r="P24" i="1" s="1"/>
  <c r="L24" i="1"/>
  <c r="J24" i="1"/>
  <c r="G24" i="1"/>
  <c r="L23" i="1"/>
  <c r="J23" i="1"/>
  <c r="M23" i="1" s="1"/>
  <c r="O23" i="1" s="1"/>
  <c r="P23" i="1" s="1"/>
  <c r="G23" i="1"/>
  <c r="O22" i="1"/>
  <c r="P22" i="1" s="1"/>
  <c r="M22" i="1"/>
  <c r="L22" i="1"/>
  <c r="J22" i="1"/>
  <c r="G22" i="1"/>
  <c r="L21" i="1"/>
  <c r="J21" i="1"/>
  <c r="M21" i="1" s="1"/>
  <c r="O21" i="1" s="1"/>
  <c r="P21" i="1" s="1"/>
  <c r="G21" i="1"/>
  <c r="L20" i="1"/>
  <c r="J20" i="1"/>
  <c r="M20" i="1" s="1"/>
  <c r="O20" i="1" s="1"/>
  <c r="P20" i="1" s="1"/>
  <c r="G20" i="1"/>
  <c r="L19" i="1"/>
  <c r="J19" i="1"/>
  <c r="M19" i="1" s="1"/>
  <c r="O19" i="1" s="1"/>
  <c r="P19" i="1" s="1"/>
  <c r="G19" i="1"/>
  <c r="M18" i="1"/>
  <c r="O18" i="1" s="1"/>
  <c r="P18" i="1" s="1"/>
  <c r="L18" i="1"/>
  <c r="J18" i="1"/>
  <c r="G18" i="1"/>
  <c r="L17" i="1"/>
  <c r="M17" i="1" s="1"/>
  <c r="O17" i="1" s="1"/>
  <c r="P17" i="1" s="1"/>
  <c r="J17" i="1"/>
  <c r="G17" i="1"/>
  <c r="M16" i="1"/>
  <c r="O16" i="1" s="1"/>
  <c r="P16" i="1" s="1"/>
  <c r="L16" i="1"/>
  <c r="J16" i="1"/>
  <c r="G16" i="1"/>
  <c r="L15" i="1"/>
  <c r="J15" i="1"/>
  <c r="M15" i="1" s="1"/>
  <c r="O15" i="1" s="1"/>
  <c r="P15" i="1" s="1"/>
  <c r="G15" i="1"/>
  <c r="O14" i="1"/>
  <c r="P14" i="1" s="1"/>
  <c r="M14" i="1"/>
  <c r="L14" i="1"/>
  <c r="J14" i="1"/>
  <c r="G14" i="1"/>
  <c r="L13" i="1"/>
  <c r="J13" i="1"/>
  <c r="M13" i="1" s="1"/>
  <c r="O13" i="1" s="1"/>
  <c r="P13" i="1" s="1"/>
  <c r="G13" i="1"/>
  <c r="L12" i="1"/>
  <c r="J12" i="1"/>
  <c r="M12" i="1" s="1"/>
  <c r="O12" i="1" s="1"/>
  <c r="P12" i="1" s="1"/>
  <c r="G12" i="1"/>
  <c r="L11" i="1"/>
  <c r="J11" i="1"/>
  <c r="M11" i="1" s="1"/>
  <c r="O11" i="1" s="1"/>
  <c r="P11" i="1" s="1"/>
  <c r="G11" i="1"/>
  <c r="M10" i="1"/>
  <c r="O10" i="1" s="1"/>
  <c r="P10" i="1" s="1"/>
  <c r="L10" i="1"/>
  <c r="J10" i="1"/>
  <c r="G10" i="1"/>
  <c r="L9" i="1"/>
  <c r="M9" i="1" s="1"/>
  <c r="O9" i="1" s="1"/>
  <c r="P9" i="1" s="1"/>
  <c r="J9" i="1"/>
  <c r="G9" i="1"/>
  <c r="M8" i="1"/>
  <c r="O8" i="1" s="1"/>
  <c r="P8" i="1" s="1"/>
  <c r="L8" i="1"/>
  <c r="J8" i="1"/>
  <c r="G8" i="1"/>
  <c r="L7" i="1"/>
  <c r="J7" i="1"/>
  <c r="M7" i="1" s="1"/>
  <c r="O7" i="1" s="1"/>
  <c r="P7" i="1" s="1"/>
  <c r="G7" i="1"/>
  <c r="O6" i="1"/>
  <c r="P6" i="1" s="1"/>
  <c r="M6" i="1"/>
  <c r="L6" i="1"/>
  <c r="J6" i="1"/>
  <c r="G6" i="1"/>
  <c r="L5" i="1"/>
  <c r="J5" i="1"/>
  <c r="M5" i="1" s="1"/>
  <c r="O5" i="1" s="1"/>
  <c r="P5" i="1" s="1"/>
  <c r="G5" i="1"/>
  <c r="L4" i="1"/>
  <c r="J4" i="1"/>
  <c r="M4" i="1" s="1"/>
  <c r="O4" i="1" s="1"/>
  <c r="P4" i="1" s="1"/>
  <c r="G4" i="1"/>
  <c r="L3" i="1"/>
  <c r="J3" i="1"/>
  <c r="M3" i="1" s="1"/>
  <c r="O3" i="1" s="1"/>
  <c r="P3" i="1" s="1"/>
  <c r="G3" i="1"/>
  <c r="M2" i="1"/>
  <c r="O2" i="1" s="1"/>
  <c r="P2" i="1" s="1"/>
  <c r="L2" i="1"/>
  <c r="J2" i="1"/>
  <c r="G2" i="1"/>
  <c r="N417" i="1" l="1"/>
  <c r="O417" i="1" s="1"/>
  <c r="P417" i="1" s="1"/>
  <c r="N422" i="1"/>
  <c r="O422" i="1" s="1"/>
  <c r="P422" i="1" s="1"/>
  <c r="N432" i="1"/>
  <c r="O432" i="1" s="1"/>
  <c r="P432" i="1" s="1"/>
  <c r="N427" i="1"/>
  <c r="O427" i="1" s="1"/>
  <c r="P427" i="1" s="1"/>
  <c r="M158" i="1"/>
  <c r="O158" i="1" s="1"/>
  <c r="P158" i="1" s="1"/>
  <c r="N418" i="1"/>
  <c r="O418" i="1" s="1"/>
  <c r="P418" i="1" s="1"/>
  <c r="O413" i="1"/>
  <c r="P413" i="1" s="1"/>
  <c r="N423" i="1"/>
  <c r="O423" i="1" s="1"/>
  <c r="P423" i="1" s="1"/>
  <c r="N428" i="1"/>
  <c r="O428" i="1" s="1"/>
  <c r="P428" i="1" s="1"/>
  <c r="N433" i="1"/>
  <c r="O433" i="1" s="1"/>
  <c r="P433" i="1" s="1"/>
  <c r="N414" i="1"/>
  <c r="O414" i="1" s="1"/>
  <c r="P414" i="1" s="1"/>
  <c r="N424" i="1"/>
  <c r="O424" i="1" s="1"/>
  <c r="P424" i="1" s="1"/>
  <c r="O434" i="1"/>
  <c r="P434" i="1" s="1"/>
  <c r="N434" i="1"/>
  <c r="N415" i="1"/>
  <c r="O415" i="1" s="1"/>
  <c r="P415" i="1" s="1"/>
  <c r="O429" i="1"/>
  <c r="P429" i="1" s="1"/>
  <c r="O425" i="1"/>
  <c r="P425" i="1" s="1"/>
  <c r="N425" i="1"/>
  <c r="N420" i="1"/>
  <c r="O420" i="1" s="1"/>
  <c r="P420" i="1" s="1"/>
  <c r="N430" i="1"/>
  <c r="O430" i="1" s="1"/>
  <c r="P430" i="1" s="1"/>
  <c r="N431" i="1"/>
  <c r="O431" i="1" s="1"/>
  <c r="P431" i="1" s="1"/>
  <c r="M138" i="1"/>
  <c r="O138" i="1" s="1"/>
  <c r="P138" i="1" s="1"/>
  <c r="N416" i="1"/>
  <c r="O416" i="1" s="1"/>
  <c r="P416" i="1" s="1"/>
  <c r="N421" i="1"/>
  <c r="O421" i="1" s="1"/>
  <c r="P421" i="1" s="1"/>
  <c r="N426" i="1"/>
  <c r="O426" i="1" s="1"/>
  <c r="P426" i="1" s="1"/>
  <c r="N419" i="1"/>
  <c r="O419" i="1" s="1"/>
  <c r="P419" i="1" s="1"/>
  <c r="N435" i="1"/>
  <c r="O435" i="1" s="1"/>
  <c r="P435" i="1" s="1"/>
</calcChain>
</file>

<file path=xl/sharedStrings.xml><?xml version="1.0" encoding="utf-8"?>
<sst xmlns="http://schemas.openxmlformats.org/spreadsheetml/2006/main" count="1376" uniqueCount="528">
  <si>
    <t>Material Code</t>
  </si>
  <si>
    <t>SKU</t>
  </si>
  <si>
    <t>EUn</t>
  </si>
  <si>
    <t>Segment</t>
  </si>
  <si>
    <t>Pack</t>
  </si>
  <si>
    <t>Pack Size</t>
  </si>
  <si>
    <t>No. of CAN</t>
  </si>
  <si>
    <t>MRP</t>
  </si>
  <si>
    <t>DLP</t>
  </si>
  <si>
    <t>RSP</t>
  </si>
  <si>
    <t>Prod Discount-Q3 per Lit</t>
  </si>
  <si>
    <t>HO Scheme Per CAN/BUC</t>
  </si>
  <si>
    <t>RSP After Scheme</t>
  </si>
  <si>
    <t>Premium Free SKU (1 CAN FREE IN EVERY 20 CAN)</t>
  </si>
  <si>
    <t>Rate without GST</t>
  </si>
  <si>
    <t>Rate with GST(18%)</t>
  </si>
  <si>
    <t>SERVO GEAR HP 90-40X1/2L-HDPE</t>
  </si>
  <si>
    <t>CAR</t>
  </si>
  <si>
    <t>SERVO GEAR HP 90-20X1/2L-HDPE</t>
  </si>
  <si>
    <t>SERVO GEAR HP 90-20X1L-HDPE</t>
  </si>
  <si>
    <t>SERVO GEAR HP 90 - 4x5L - HDPE</t>
  </si>
  <si>
    <t>SERVO GEAR HP 90-20L BUC</t>
  </si>
  <si>
    <t>BUC</t>
  </si>
  <si>
    <t>SERVO GEAR HP 140 - 20x1L - HDPE</t>
  </si>
  <si>
    <t>SERVO GEAR HP 140 - 4x5L - HDPE</t>
  </si>
  <si>
    <t>SERVO GEAR HP 140-20L BUC</t>
  </si>
  <si>
    <t>MGGO 80W-90 - 4 X 2.1 L</t>
  </si>
  <si>
    <t>HYUNDAI S.GEAR OIL 75W-85-4X2.5L-HDPE</t>
  </si>
  <si>
    <t>SERVO SCOOTOMATIC XTRA 5W-30-20 X 600 ML</t>
  </si>
  <si>
    <t>SERVO SCOOTOMATIC 4ST 10W-30-20 X 0.8 L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</si>
  <si>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</si>
  <si>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</si>
  <si>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</si>
  <si>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</si>
  <si>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SUPREME-40X1/2L</t>
  </si>
  <si>
    <t>SERVO 2T SUPREME-20X1/2 L</t>
  </si>
  <si>
    <t>SERVO 2T SUPREME-20 X 1 L</t>
  </si>
  <si>
    <t>SERVO 2T SUPREME-4x5L - HDPE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</si>
  <si>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</si>
  <si>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</si>
  <si>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</si>
  <si>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</si>
  <si>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SERVO 4T - 20 X 1 L HDPE PROMO</t>
  </si>
  <si>
    <t>SERVO 4T - 20 X 0.9 L HDPE PROMO</t>
  </si>
  <si>
    <t>SERVO HONDA JOSH-20 X 0.9 L</t>
  </si>
  <si>
    <t>SERVO HONDA JOSH-20 X 1 L</t>
  </si>
  <si>
    <t>SERVO 4T 20W-50-20 X 1.2 L</t>
  </si>
  <si>
    <t>SERVO 4T 20W-50-20 X 1 L PROMO</t>
  </si>
  <si>
    <t>SERVO 4T ZOOM 10W-30-20X0.9 L HDPE PROMO</t>
  </si>
  <si>
    <t>SERVO OBM 2T OIL - 20 X 1 L HDPE</t>
  </si>
  <si>
    <t>SERVO OBM 2T OIL - 4 X 5 L HDPE</t>
  </si>
  <si>
    <t>SERVO OBM 2T OIL - 20 L BUC</t>
  </si>
  <si>
    <t>SERVO FUTURA SYNTH 0W-40-20 X 1 L</t>
  </si>
  <si>
    <t>SERVO FUTURA SYNTH 0W-40-4 X 4 L PROMO</t>
  </si>
  <si>
    <t>SERVO FUTURA SYNTH 0W-40-4 x 4 L</t>
  </si>
  <si>
    <t>MGDO 5W-30-4 X 3.5 L</t>
  </si>
  <si>
    <t>SERVO FUTURA G PLUS 5W-30-4X3.5 L PROMO</t>
  </si>
  <si>
    <t>SERVO FUTURA G PLUS 5W-30-20 X 1 L</t>
  </si>
  <si>
    <t>SERVO FUTURA G PLUS 5W-30-4 X 3 L PROMO</t>
  </si>
  <si>
    <t>SERVO FUTURA G PLUS 5W-30-4 X 4 L PROMO</t>
  </si>
  <si>
    <t>HY.SERVO ENGINE OIL 5W-30-4x3.5L</t>
  </si>
  <si>
    <t>SERVO 4T HD-4 X 2.5 L</t>
  </si>
  <si>
    <t>SERVO 4T HD-20 X 1.2 L</t>
  </si>
  <si>
    <t>SERVOSYSTEM 32-20L BUC</t>
  </si>
  <si>
    <t>SERVOSYSTEM 46 - 20L BUC</t>
  </si>
  <si>
    <t>SERVOSYSTEM 68-4x5L - HDPE</t>
  </si>
  <si>
    <t>SERVOSYSTEM 68-20L BUC</t>
  </si>
  <si>
    <t>SERVOHYDREX TH 46 PLUS-20 L</t>
  </si>
  <si>
    <t>SERVOHYDREX TH 46-20L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</si>
  <si>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</si>
  <si>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</si>
  <si>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</si>
  <si>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</si>
  <si>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</si>
  <si>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A-40 X 1/2 L</t>
  </si>
  <si>
    <t>SERVO TRANSFLUID A-20X1/2 L</t>
  </si>
  <si>
    <t>SERVO TRANSFLUID A-20X1L-HDPE</t>
  </si>
  <si>
    <t>SERVO TRANSFLUID A-4X5L-HDPE</t>
  </si>
  <si>
    <t>SERVO TRANSFLUID A-10 L</t>
  </si>
  <si>
    <t>SERVO OIB OIL-20 X 1 L</t>
  </si>
  <si>
    <t>SERVO OIB OIL-4 X 5 L PROMO</t>
  </si>
  <si>
    <t>SERVO OIB OIL -20L PROMO</t>
  </si>
  <si>
    <t>SERVO GAS ENGINE OIL - 20x1L - HDPE</t>
  </si>
  <si>
    <t>SERVO GAS ENGINE OIL-4X3L-HDPE</t>
  </si>
  <si>
    <t>HYUNDAI SERVO SUPERIOR 0W30-4 X 4 L</t>
  </si>
  <si>
    <t>HY SERVO SYNTH 0W-30 SP/C3-4 X 3.5 L</t>
  </si>
  <si>
    <t>SERVO GREENMILE-4 X 3.5 L</t>
  </si>
  <si>
    <t>SERVO TRACTOR GREEN-20 X 1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</si>
  <si>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</si>
  <si>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</si>
  <si>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</si>
  <si>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</si>
  <si>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</si>
  <si>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HECTOR DIESEL ENGINE OIL-4 X5 L</t>
  </si>
  <si>
    <t>SERVO FUTURA NXT 0W-16-4X3.5 L PROMO</t>
  </si>
  <si>
    <t>SERVO FUTURA NXT 0W-16-20 X 1 L PROMO</t>
  </si>
  <si>
    <t>SERVO FUTURA NXT 0W-20-4X3.5 L PROMO</t>
  </si>
  <si>
    <t>SERVO BLACKBIRD X-4X3.5 L PROMO</t>
  </si>
  <si>
    <t>SERVO PRIDE XL PLUS 15W40-20 X 1 L</t>
  </si>
  <si>
    <t>SERVO PRIDE XL PLUS 15W40-4X3 L</t>
  </si>
  <si>
    <t>SERVO PRIDE XL PLUS 15W40-4 X 3 L PROMO</t>
  </si>
  <si>
    <t>SERVO PRIDE XL PLUS 15W40-4x5L - HDPE</t>
  </si>
  <si>
    <t>SERVO PRIDE XL PLUS 15W40-4 X 5 L PROMO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</si>
  <si>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</si>
  <si>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</si>
  <si>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</si>
  <si>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</si>
  <si>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</si>
  <si>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15W40-15 L</t>
  </si>
  <si>
    <t>SERVO PRIDE XL PLUS 15W40-20 L</t>
  </si>
  <si>
    <t>SERVO GEAR SUPER 80W-90 - 20 X 1 L HDPE</t>
  </si>
  <si>
    <t>SERVO GEAR SUPER 80W-90-4 X 2.5 L</t>
  </si>
  <si>
    <t>SERVO GEAR SUPER 80W-90 - 4 X 5 L HDPE</t>
  </si>
  <si>
    <t>SERVO GEAR SUPER 80W-90-4 X 5 L PROMO</t>
  </si>
  <si>
    <t>SERVO GEAR SUPER 80W-90-7.5 L</t>
  </si>
  <si>
    <t>SERVO GEAR SUPER 80W-90 - 20 L BUC</t>
  </si>
  <si>
    <t>SERVO GEAR SUPER 80W-90-20 L PROMO</t>
  </si>
  <si>
    <t>SERVO GEAR SUPER 85W-140-12 L BUC</t>
  </si>
  <si>
    <t>SERVO GEAR SUPER 85W-140 - 20 X 1 L HDPE</t>
  </si>
  <si>
    <t>SERVO GEAR SUPER 85W-140 - 4 X 5 L HDPE</t>
  </si>
  <si>
    <t>SERVO GEAR SUPER 85W-140-4 X 5 L PROMO</t>
  </si>
  <si>
    <t>SERVO GEAR SUPER 85W-140-7.5 L</t>
  </si>
  <si>
    <t>SERVO GEAR SUPER 85W-140-20 L BUC</t>
  </si>
  <si>
    <t>SERVO GEAR SUPER 85W-140-20 L PROMO</t>
  </si>
  <si>
    <t>SERVO CHAKKADA ENG OIL-20 X 1.2 L</t>
  </si>
  <si>
    <t>SERVO TILLER SUPER 20W-40-4 X 3.5 L</t>
  </si>
  <si>
    <t>SERVO PRIDE TC 15W40 - 20X1L-HDPE</t>
  </si>
  <si>
    <t>SERVO PRIDE TC 15W-40 - 4 X 2.5 L 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</si>
  <si>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</si>
  <si>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</si>
  <si>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</si>
  <si>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</si>
  <si>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</si>
  <si>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</si>
  <si>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</si>
  <si>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</si>
  <si>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</si>
  <si>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</si>
  <si>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TRACTOR OIL MG 20W-40-7.5L PROMO</t>
  </si>
  <si>
    <t>SERVO TRACTOR OIL MG 20W-40 - 7.5L BUC</t>
  </si>
  <si>
    <t>SERVO PREMIUM CF-4 15W-40-40X1/2L-HDPE</t>
  </si>
  <si>
    <t>SERVO PREMIUM CF-4 15W-40-20X1/2L-HDPE</t>
  </si>
  <si>
    <t>SERVO PREMIUM CF-4 15W-40-20X1L-HDPE</t>
  </si>
  <si>
    <t>SERVO PREMIUM CF-4 15W-40-4X3L-HDPE</t>
  </si>
  <si>
    <t>SERVO PREMIUM CF-4 15W-40-4X5L-HDPE</t>
  </si>
  <si>
    <t>SERVO PREMIUM CF-4 15W-40-4x5L - PROMO</t>
  </si>
  <si>
    <t>SERVO PREMIUM CF-4 15W-40-10L BUC</t>
  </si>
  <si>
    <t>SERVO PREMIUM CF-4 15W-40-7.5 L</t>
  </si>
  <si>
    <t>SERVO PREMIUM CF-4 15W-40-15 L</t>
  </si>
  <si>
    <t>SERVO PREMIUM CF 4 15W 40-20L BUC</t>
  </si>
  <si>
    <t>SERVO KOOL PLUS - 20X1/4L-HDPE</t>
  </si>
  <si>
    <t>SERVO KOOL PLUS-20X1/2L-HDPE</t>
  </si>
  <si>
    <t>SERVO KOOL PLUS-20X1L-HDPE</t>
  </si>
  <si>
    <t>SERVO KOOL PLUS-10X1L-HDPE</t>
  </si>
  <si>
    <t>MGO 20W-40 - 20 X 1 L</t>
  </si>
  <si>
    <t>MGO 20W-40 - 4 X 3 L</t>
  </si>
  <si>
    <t>SERVO KOOL READY-20X1L-HDPE</t>
  </si>
  <si>
    <t>SERVO KOOL READY-10X1L-HDPE</t>
  </si>
  <si>
    <t>HYUNDAI SERVO CRDi PREM.ENG.OIL 4X5L-HDP</t>
  </si>
  <si>
    <t>MGDO 15W-40 - 20 X 1 L</t>
  </si>
  <si>
    <t>MGDO 15W-40 - 4 X 3.5 L</t>
  </si>
  <si>
    <t>MGDO 15W-40 - 4 X 5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</si>
  <si>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</si>
  <si>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</si>
  <si>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</si>
  <si>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</si>
  <si>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15W-40-18 L</t>
  </si>
  <si>
    <t>SERVO PRIDE ALT PLUS 15W-40 -15 L</t>
  </si>
  <si>
    <t>MGO 5W-30-4 X 3 L</t>
  </si>
  <si>
    <t>MGO 5W-30-4x3.5L HDPE</t>
  </si>
  <si>
    <t>SERVO GREASE MP-20 KG BUC</t>
  </si>
  <si>
    <t>Grease</t>
  </si>
  <si>
    <t>SERVO GREASE MP 3 - 20 X 1/2 KG CTN</t>
  </si>
  <si>
    <t>SERVOGREASE MP 3-60X200 GM CAR</t>
  </si>
  <si>
    <t>SERVO GREASE MP 3 - 10 X 1 KG CTN</t>
  </si>
  <si>
    <t>SERVOGREASE MP 3-6X2 KG</t>
  </si>
  <si>
    <t>SERVOGREASE MP 3-4X3 KG</t>
  </si>
  <si>
    <t>SERVOGREASE MP 3 - 5 KG BUC</t>
  </si>
  <si>
    <t>SERVOGREASE MP 3 -20 KG BUC</t>
  </si>
  <si>
    <t>SERVOGEM 2-20 KG BUC</t>
  </si>
  <si>
    <t>SERVOGEM 3-20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</si>
  <si>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</si>
  <si>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</si>
  <si>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</si>
  <si>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</si>
  <si>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</si>
  <si>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</si>
  <si>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SERVOGEM EP 2-20 KG BUC</t>
  </si>
  <si>
    <t>SERVOGEM HTXX-20 KG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</si>
  <si>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</si>
  <si>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</si>
  <si>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</si>
  <si>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</si>
  <si>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</si>
  <si>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</si>
  <si>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</si>
  <si>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</si>
  <si>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</si>
  <si>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SERVOGREASE MIRACLE 3-10 X 1 KG</t>
  </si>
  <si>
    <t>SERVO FLEET 40-20 X 1 L</t>
  </si>
  <si>
    <t>CVO</t>
  </si>
  <si>
    <t>SERVO FLEET 40-4 X 5 L</t>
  </si>
  <si>
    <t>SERVO FLEET 40-10 L</t>
  </si>
  <si>
    <t>SERVO FLEET 40-20 L</t>
  </si>
  <si>
    <t>SERVO SUPERMILE SMG 20W-40-40 X 1/2 L</t>
  </si>
  <si>
    <t>PCMO</t>
  </si>
  <si>
    <t>SERVO SUPERMILE SMG 20W-40-20 X 1 L</t>
  </si>
  <si>
    <t>SERVO SUPERMILE SMG 20W-40-4 X 3.5 L</t>
  </si>
  <si>
    <t>SERVO SUPERMILE SMG 20W-40-4 X 5 L</t>
  </si>
  <si>
    <t>SERVO SUPERMILE 5W-30-20 X 1 L</t>
  </si>
  <si>
    <t>SERVO SUPERMILE 5W-30-4 X 3 L</t>
  </si>
  <si>
    <t>SERVO SUPERMILE 5W-30-4 X 3.5 L</t>
  </si>
  <si>
    <t>SERVO SUPERMILE 5W-30-4 X 5 L</t>
  </si>
  <si>
    <t>SERVO KISANPOWER SPSO-4 X 3.5 L</t>
  </si>
  <si>
    <t>AGRI</t>
  </si>
  <si>
    <t>SERVO KISANPOWER OIB-20 X 1 L</t>
  </si>
  <si>
    <t>SERVO KISANPOWER OIB-4 X 5 L</t>
  </si>
  <si>
    <t>SERVO KISANPOWER OIB-20 L</t>
  </si>
  <si>
    <t>SERVO SUPERMILE GEO 20W-50-40 X 1/2 L</t>
  </si>
  <si>
    <t>SERVO SUPERMILE GEO 20W-50-20 X 1/2 L</t>
  </si>
  <si>
    <t>SERVO SUPERMILE GEO 20W-50-20 X 1 L</t>
  </si>
  <si>
    <t>SERVO SUPERMILE GEO 20W-50-4 X 2.1 L</t>
  </si>
  <si>
    <t>SERVO SUPERMILE GEO 20W-50-4 X 3 L</t>
  </si>
  <si>
    <t>SERVO SUPERMILE GEO 20W-50-20 L</t>
  </si>
  <si>
    <t>SERVO SUPERMILE GEO-40 X 1/2 L</t>
  </si>
  <si>
    <t>SERVO SUPERMILE GEO-20 X 1/2 L</t>
  </si>
  <si>
    <t>SERVO SUPERMILE GEO-20 X 1 L</t>
  </si>
  <si>
    <t>SERVO SUPERMILE GEO-4 X 3 L</t>
  </si>
  <si>
    <t>SERVO SUPERMILE GEO-20 L</t>
  </si>
  <si>
    <t>SERVO FLEET 15W-40-20 X 1 L</t>
  </si>
  <si>
    <t>SERVO FLEET 15W-40-4 X 3 L</t>
  </si>
  <si>
    <t>SERVO FLEET 15W-40-4 X 5 L</t>
  </si>
  <si>
    <t>SERVO FLEET 15W-40-10 L</t>
  </si>
  <si>
    <t>SERVO FLEET 15W-40-7.5 L</t>
  </si>
  <si>
    <t>SERVO FLEET 15W-40-15 L</t>
  </si>
  <si>
    <t>SERVO FLEET 15W-40-20 L</t>
  </si>
  <si>
    <t>SERVO FLEET XL 15W-40-20 X 1 L</t>
  </si>
  <si>
    <t>SERVO FLEET XL 15W-40-4 X 3 L</t>
  </si>
  <si>
    <t>SERVO FLEET XL 15W-40-4 X 5 L</t>
  </si>
  <si>
    <t>SERVO FLEET XL 15W-40-10 L</t>
  </si>
  <si>
    <t>SERVO FLEET XL 15W-40-7.5 L</t>
  </si>
  <si>
    <t>SERVO FLEET XL 15W-40-15 L</t>
  </si>
  <si>
    <t>SERVO FLEET XL 15W-40-20 L</t>
  </si>
  <si>
    <t>SERVO KISANPOWER TRACTOR OIL-20 X 1 L</t>
  </si>
  <si>
    <t>SERVO KISANPOWER TRACTOR OIL-4 X 6 L</t>
  </si>
  <si>
    <t>SERVO KISANPOWER TRACTOR OIL-7.5 L</t>
  </si>
  <si>
    <t>SERVO KISANPOWER TRACTOR OIL-8.5 L</t>
  </si>
  <si>
    <t>SERVO FLEET TC 15W-40-20 X 1 L</t>
  </si>
  <si>
    <t>SERVO FLEET TC 15W-40-4 X 3 L</t>
  </si>
  <si>
    <t>SERVO FLEET TC 15W-40-4 X 5 L</t>
  </si>
  <si>
    <t>SERVO FLEET TC 15W-40-10 L</t>
  </si>
  <si>
    <t>SERVO FLEET TC 15W-40-7.5 L</t>
  </si>
  <si>
    <t>SERVO FLEET TC 15W-40-15 L</t>
  </si>
  <si>
    <t>SERVO FLEET TC 15W-40-20 L</t>
  </si>
  <si>
    <t>SERVO FLEET 20W-40-40 X 1/2 L</t>
  </si>
  <si>
    <t>SERVO FLEET 20W-40-20 X 1/2 L</t>
  </si>
  <si>
    <t>SERVO FLEET 20W-40-20 X 1 L</t>
  </si>
  <si>
    <t>SERVO FLEET 20W-40-4 X 3 L</t>
  </si>
  <si>
    <t>SERVO FLEET 20W-40-20 X 1.2 L</t>
  </si>
  <si>
    <t>SERVO FLEET 20W-40-4 X 5 L</t>
  </si>
  <si>
    <t>SERVO FLEET 20W-40-10 L</t>
  </si>
  <si>
    <t>SERVO FLEET 20W-40-4 X 6 L</t>
  </si>
  <si>
    <t>SERVO FLEET 20W-40-7.5 L</t>
  </si>
  <si>
    <t>SERVO FLEET 20W-40-15 L</t>
  </si>
  <si>
    <t>SERVO FLEET 20W-40-20 L</t>
  </si>
  <si>
    <t>SERVO FLEET 20W-50-20 X 1 L</t>
  </si>
  <si>
    <t>SERVO FLEET 20W-50-4 X 3 L</t>
  </si>
  <si>
    <t>SERVO FLEET 20W-50-4 X 5 L</t>
  </si>
  <si>
    <t xml:space="preserve">SERVO ZOOM SCOOTER 10W-30-20X0.8 L </t>
  </si>
  <si>
    <t>MCO</t>
  </si>
  <si>
    <t>SERVO ZOOM 2T SUPREME-600 X 20 ML POU</t>
  </si>
  <si>
    <t>2T</t>
  </si>
  <si>
    <t>SERVO ZOOM 2T SUPREME-300 X 40 ML POU</t>
  </si>
  <si>
    <t>SERVO ZOOM 2T SUPREME-200 X 60 ML POU</t>
  </si>
  <si>
    <t>SERVO ZOOM 2T SUPREME-20 X 1/4 L</t>
  </si>
  <si>
    <t>SERVO ZOOM 2T SUPREME-20 X 1/2 L</t>
  </si>
  <si>
    <t>SERVO ZOOM 2T SUPREME-20 X 1 L</t>
  </si>
  <si>
    <t>SERVO ZOOM 2T SUPREME-20 X 1 L PROMO</t>
  </si>
  <si>
    <t>SERVO ZOOM 2T SUPREME-4 X 5 L</t>
  </si>
  <si>
    <t>SERVO ZOOM 4T-20 X 0.9 L</t>
  </si>
  <si>
    <t>SERVO ZOOM 4T-20 X 1 L</t>
  </si>
  <si>
    <t>SERVO ZOOM 4T-20 X 1 L PROMO</t>
  </si>
  <si>
    <t>SERVO ZOOM 4T-20 X 0.9 L PROMO</t>
  </si>
  <si>
    <t>SERVO ZOOM 4T 20W-50-1.2 L PROMO</t>
  </si>
  <si>
    <t>SERVO ZOOM 4T 20W-50-20 X 1 L</t>
  </si>
  <si>
    <t>SERVO ZOOM 4T 20W-50-20 X 1.2 L</t>
  </si>
  <si>
    <t>SERVO ZOOM 4T 20W-50-20 X 1 L PROMO</t>
  </si>
  <si>
    <t>SERVO ZOOM 4T 10W-30-20 X 0.9 L</t>
  </si>
  <si>
    <t>SERVO ZOOM 4T 10W-30-20 X 1 L</t>
  </si>
  <si>
    <t>SERVO ZOOM 4T 10W-30-20 X 1 L PROMO</t>
  </si>
  <si>
    <t>SERVO ZOOM 4T 10W-30-20 X 0.9 L PROMO</t>
  </si>
  <si>
    <t>SERVO ZOOM 4T 10W-40-20 X 1 L</t>
  </si>
  <si>
    <t>SERVO ZOOM 4T 10W-40-20 X 1 L PROMO</t>
  </si>
  <si>
    <t>SERVO ZOOM 4T 10W-40-20 X 0.9 L PROMO</t>
  </si>
  <si>
    <t>SERVO KISANPRO OIB-20 X 1 L</t>
  </si>
  <si>
    <t>SERVO KISANPRO OIB-4 X 5 L</t>
  </si>
  <si>
    <t>SERVO KISANPRO OIB-4 X 5 L PROMO</t>
  </si>
  <si>
    <t>SERVO KISANPRO OIB-20 L</t>
  </si>
  <si>
    <t>SERVO KISANPRO OIB-20 L PROMO</t>
  </si>
  <si>
    <t>SERVO FUTURA 0W-20-4X3.5 L PROMO</t>
  </si>
  <si>
    <t>SERVO FUTURA 0W-20-20 X 1 L</t>
  </si>
  <si>
    <t>SERVO FUTURA 0W-20-4 X 3 L</t>
  </si>
  <si>
    <t>SERVO FUTURA 0W-20-4 X 3 L PROMO</t>
  </si>
  <si>
    <t>SERVO FUTURA 0W-20-4 X 3.5 L</t>
  </si>
  <si>
    <t>SERVO FUTURA 0W-20-4 X 4 L PROMO</t>
  </si>
  <si>
    <t>SERVO FUTURA 0W-20-4 X 4 L</t>
  </si>
  <si>
    <t>SERVO FUTURA 0W-20-20 X 1 L PROMO</t>
  </si>
  <si>
    <t>SERVO FUTURA 0W-20-4 X 5 L</t>
  </si>
  <si>
    <t>SERVO FUTURA 0W-20-4 X 5 L PROMO</t>
  </si>
  <si>
    <t>SERVO FUTURA GEO 15W-40-20 X 1 L</t>
  </si>
  <si>
    <t>SERVO FUTURA GEO 15W-40-4 X 3 L</t>
  </si>
  <si>
    <t>SERVO FUTURA GEO 15W-40-4 X 3 L PROMO</t>
  </si>
  <si>
    <t>SERVO FUTURA GEO 15W-40-4 X 5 L</t>
  </si>
  <si>
    <t>SERVO FUTURA GEO 15W-40-4 X 5 L PROMO</t>
  </si>
  <si>
    <t>SERVO FUTURA GEO 15W-40-10 L PROMO</t>
  </si>
  <si>
    <t>SERVO FUTURA GEO 15W-40-10 L</t>
  </si>
  <si>
    <t>SERVO FUTURA GEO 15W-40-7.5 L PROMO</t>
  </si>
  <si>
    <t>SERVO FUTURA GEO 15W-40-7.5 L</t>
  </si>
  <si>
    <t>SERVO FUTURA GEO 15W-40-15 L PROMO</t>
  </si>
  <si>
    <t>SERVO FUTURA GEO 15W-40-15 L</t>
  </si>
  <si>
    <t>SERVO FUTURA GEO 15W-40-20 L</t>
  </si>
  <si>
    <t>SERVO FUTURA GEO 15W-40-20 L PROMO</t>
  </si>
  <si>
    <t>SERVO PRIDE XL PLUS 15W-40.-18 L PROMO</t>
  </si>
  <si>
    <t>SERVO PRIDE XL PLUS 15W-40.-20 X 1 L</t>
  </si>
  <si>
    <t>SERVO PRIDE XL PLUS 15W-40.-4 X 3 L</t>
  </si>
  <si>
    <t>SERVO PRIDE XL PLUS 15W-40.-4X 3 L PROMO</t>
  </si>
  <si>
    <t>SERVO PRIDE XL PLUS 15W-40.-20X1 L PROMO</t>
  </si>
  <si>
    <t>SERVO PRIDE XL PLUS 15W-40.-4 X 5 L</t>
  </si>
  <si>
    <t>SERVO PRIDE XL PLUS 15W-40.-4X5 L PROMO</t>
  </si>
  <si>
    <t>SERVO PRIDE XL PLUS 15W-40.-10 L PROMO</t>
  </si>
  <si>
    <t>SERVO PRIDE XL PLUS 15W-40.-10 L</t>
  </si>
  <si>
    <t>SERVO PRIDE XL PLUS 15W-40.-7.5 L PROMO</t>
  </si>
  <si>
    <t>SERVO PRIDE XL PLUS 15W-40.-7.5 L</t>
  </si>
  <si>
    <t>SERVO PRIDE XL PLUS 15W-40.-15 L PROMO</t>
  </si>
  <si>
    <t>SERVO PRIDE XL PLUS 15W-40.-18 L</t>
  </si>
  <si>
    <t>SERVO PRIDE XL PLUS 15W-40.-15 L</t>
  </si>
  <si>
    <t>SERVO PRIDE XL PLUS 15W-40.-20 L</t>
  </si>
  <si>
    <t>SERVO PRIDE XL PLUS 15W-40.-20 L PROMO</t>
  </si>
  <si>
    <t>SERVO FUTURA 5W-30-4X3.5 L PROMO</t>
  </si>
  <si>
    <t>SERVO FUTURA 5W-30-20 X 1 L</t>
  </si>
  <si>
    <t>SERVO FUTURA 5W-30-4 X 3 L PROMO</t>
  </si>
  <si>
    <t>SERVO FUTURA 5W-30-4 X 3.5 L</t>
  </si>
  <si>
    <t>SERVO FUTURA 5W-30-4 X 5 L</t>
  </si>
  <si>
    <t>SERVO FUTURA 5W-30-4 X 5 L PROMO</t>
  </si>
  <si>
    <t>SERVO KISANPRO 15W-40-8.5 L PROMO</t>
  </si>
  <si>
    <t>SERVO KISANPRO 15W-40-20 X 1 L</t>
  </si>
  <si>
    <t>SERVO KISANPRO 15W-40-4 X 6 L</t>
  </si>
  <si>
    <t>SERVO KISANPRO 15W-40-7.5 L PROMO</t>
  </si>
  <si>
    <t>SERVO KISANPRO 15W-40-7.5 L</t>
  </si>
  <si>
    <t>SERVO KISANPRO 15W-40-8.5 L</t>
  </si>
  <si>
    <t>SERVO KISANPRO 20W-40-20 X 1 L</t>
  </si>
  <si>
    <t>SERVO KISANPRO 20W-40-4 X 6 L</t>
  </si>
  <si>
    <t>SERVO KISANPRO 20W-40-7.5 L PROMO</t>
  </si>
  <si>
    <t>SERVO KISANPRO 20W-40-7.5 L</t>
  </si>
  <si>
    <t>SERVO PRIDE XL PLUS 10W-30-20 X 1 L</t>
  </si>
  <si>
    <t>SERVO PRIDE XL PLUS 10W-30-20 X 1L PROMO</t>
  </si>
  <si>
    <t>SERVO PRIDE XL PLUS 10W-30-4 X 5 L</t>
  </si>
  <si>
    <t>SERVO PRIDE XL PLUS 10W-30-4 X 5 L PROMO</t>
  </si>
  <si>
    <t>SERVO PRIDE XL PLUS 10W-30-7.5 L PROMO</t>
  </si>
  <si>
    <t>SERVO PRIDE XL PLUS 10W-30-7.5 L</t>
  </si>
  <si>
    <t>SERVO PRIDE XL PLUS 10W-30-15 L PROMO</t>
  </si>
  <si>
    <t>SERVO PRIDE XL PLUS 10W-30-15 L</t>
  </si>
  <si>
    <t>SERVO PRIDE XL PLUS 10W-30-20 L</t>
  </si>
  <si>
    <t>SERVO PRIDE XL PLUS 10W-30-20 L PROMO</t>
  </si>
  <si>
    <t>SERVO PRIDE 15W-40-20 X 1 L</t>
  </si>
  <si>
    <t>SERVO PRIDE 15W-40-4 X 3 L</t>
  </si>
  <si>
    <t>SERVO PRIDE 15W-40-4 X 3 L PROMO</t>
  </si>
  <si>
    <t>SERVO PRIDE 15W-40-20 X 1 L PROMO</t>
  </si>
  <si>
    <t>SERVO PRIDE 15W-40-4 X 5 L</t>
  </si>
  <si>
    <t>SERVO PRIDE 15W-40-4 X 5 L PROMO</t>
  </si>
  <si>
    <t>SERVO PRIDE 15W-40-10 L PROMO</t>
  </si>
  <si>
    <t>SERVO PRIDE 15W-40-10 L</t>
  </si>
  <si>
    <t>SERVO PRIDE 15W-40-7.5 L PROMO</t>
  </si>
  <si>
    <t>SERVO PRIDE 15W-40-7.5 L</t>
  </si>
  <si>
    <t>SERVO PRIDE 15W-40-15 L PROMO</t>
  </si>
  <si>
    <t>SERVO PRIDE 15W-40-15 L</t>
  </si>
  <si>
    <t>SERVO PRIDE 15W-40-20 L</t>
  </si>
  <si>
    <t>SERVO PRIDE 15W-40-20 L PROMO</t>
  </si>
  <si>
    <t>SERVO PRIDE 20W-40-20 X 1 L</t>
  </si>
  <si>
    <t>SERVO PRIDE 20W-40-20 X 1 L PROMO</t>
  </si>
  <si>
    <t>SERVO PRIDE 20W-40-4 X 5 L</t>
  </si>
  <si>
    <t>SERVO PRIDE 20W-40-4 X 5 L PROMO</t>
  </si>
  <si>
    <t>SERVO PRIDE 20W-40-10 L PROMO</t>
  </si>
  <si>
    <t>SERVO PRIDE 20W-40-10 L</t>
  </si>
  <si>
    <t>SERVO PRIDE 20W-40-7.5 L PROMO</t>
  </si>
  <si>
    <t>SERVO PRIDE 20W-40-7.5 L</t>
  </si>
  <si>
    <t>SERVO PRIDE 20W-40-15 L PROMO</t>
  </si>
  <si>
    <t>SERVO PRIDE 20W-40-15 L</t>
  </si>
  <si>
    <t>SERVO PRIDE 20W-40-20 L</t>
  </si>
  <si>
    <t>SERVO PRIDE 20W-40-20 L PROMO</t>
  </si>
  <si>
    <t>SERVO PRIDE GEO 15W-40-20 X 1 L</t>
  </si>
  <si>
    <t>SERVO PRIDE GEO 15W-40-4 X 3 L</t>
  </si>
  <si>
    <t>SERVO PRIDE GEO 15W-40-4 X 3 L PROMO</t>
  </si>
  <si>
    <t>SERVO PRIDE GEO 15W-40-20 X 1 L PROMO</t>
  </si>
  <si>
    <t>SERVO PRIDE GEO 15W-40-4 X 5 L</t>
  </si>
  <si>
    <t>SERVO PRIDE GEO 15W-40-4 X 5 L PROMO</t>
  </si>
  <si>
    <t>SERVO PRIDE GEO 15W-40-10 L PROMO</t>
  </si>
  <si>
    <t>SERVO PRIDE GEO 15W-40-10 L</t>
  </si>
  <si>
    <t>SERVO PRIDE GEO 15W-40-7.5 L PROMO</t>
  </si>
  <si>
    <t>SERVO PRIDE GEO 15W-40-7.5 L</t>
  </si>
  <si>
    <t>SERVO PRIDE GEO 15W-40-15 L PROMO</t>
  </si>
  <si>
    <t>SERVO PRIDE GEO 15W-40-15 L</t>
  </si>
  <si>
    <t>SERVO PRIDE GEO 15W-40-20 L</t>
  </si>
  <si>
    <t>SERVO PRIDE GEO 15W-40-20 L PROMO</t>
  </si>
  <si>
    <t>SERVO PRIDE GEO 20W-50-40 X 1/2 L</t>
  </si>
  <si>
    <t>SERVO PRIDE GEO 20W-50-20 X 1/2 L</t>
  </si>
  <si>
    <t>SERVO PRIDE GEO 20W-50-20 X 1 L</t>
  </si>
  <si>
    <t>SERVO PRIDE GEO 20W-50-4 X 3 L</t>
  </si>
  <si>
    <t>SERVO PRIDE GEO 20W-50-4 X 3 L PROMO</t>
  </si>
  <si>
    <t>SERVO PRIDE GEO 20W-50-20 X 1 L PROMO</t>
  </si>
  <si>
    <t>SERVO PRIDE GEO 20W-50-20 L</t>
  </si>
  <si>
    <t>SERVO PRIDE GEO 20W-50-20 L PROMO</t>
  </si>
  <si>
    <t>SERVO FUTURA GEO 20W-50-20 X 1/2 L</t>
  </si>
  <si>
    <t>SERVO FUTURA GEO 20W-50-20 X 1 L</t>
  </si>
  <si>
    <t>SERVO FUTURA GEO 20W-50-4 X 2.1 L</t>
  </si>
  <si>
    <t>SERVO FUTURA GEO 20W-50-4 X 3 L</t>
  </si>
  <si>
    <t>SERVO FUTURA GEO 20W-50-20 L</t>
  </si>
  <si>
    <t>SERVO FUTURA GEO 20W-50-20 L PROMO</t>
  </si>
  <si>
    <t>SERVO PRIDE TC 15W-40-20 X 1 L</t>
  </si>
  <si>
    <t>SERVO PRIDE TC 15W-40-4 X 2.5 L</t>
  </si>
  <si>
    <t>SERVO PRIDE TC 15W-40-4 X 3 L</t>
  </si>
  <si>
    <t>SERVO PRIDE TC 15W-40-4 X 3 L PROMO</t>
  </si>
  <si>
    <t>SERVO PRIDE TC 15W-40-20 X 1 L PROMO</t>
  </si>
  <si>
    <t>SERVO PRIDE TC 15W-40-4 X 5 L</t>
  </si>
  <si>
    <t>SERVO PRIDE TC 15W-40-4 X 5 L PROMO</t>
  </si>
  <si>
    <t>SERVO PRIDE TC 15W-40-10 L PROMO</t>
  </si>
  <si>
    <t>SERVO PRIDE TC 15W-40-10 L</t>
  </si>
  <si>
    <t>SERVO PRIDE TC 15W-40-7.5 L PROMO</t>
  </si>
  <si>
    <t>SERVO PRIDE TC 15W-40-7.5 L</t>
  </si>
  <si>
    <t>SERVO PRIDE TC 15W-40-15 L PROMO</t>
  </si>
  <si>
    <t>SERVO PRIDE TC 15W-40-15 L</t>
  </si>
  <si>
    <t>SERVO PRIDE TC 15W-40-20 L</t>
  </si>
  <si>
    <t>SERVO PRIDE TC 15W-40-20 L PROMO</t>
  </si>
  <si>
    <t>SERVO HYPERSPORT 4T 5W-30-20 X 1 L PROMO</t>
  </si>
  <si>
    <t>SERVO HYPERSPORT 4T 5W-30-20 X0.9L PROMO</t>
  </si>
  <si>
    <t>SERVO HYPERSPORT 4T 10W30-20 X 1 L PROMO</t>
  </si>
  <si>
    <t>SERVO HYPERSPORT 4T 10W30-20 X0.9L PROMO</t>
  </si>
  <si>
    <t>SERVO HYPERSPORT 4T 10W-40-20 X 1L PROMO</t>
  </si>
  <si>
    <t>SERVO HYPERSPORT 4T 10W40-20 X0.9L PROMO</t>
  </si>
  <si>
    <t>SER HYPSPRT 4T 15W50-10 X 1.2 L PROMO</t>
  </si>
  <si>
    <t>SERVO HYPERSPORT 4T 15W-50-4X2.5 L-PROMO</t>
  </si>
  <si>
    <t>SERVO HYPERSPORT 4T-20 X 1 L PROMO</t>
  </si>
  <si>
    <t>SERVO HYPERSPORT 4T-20 X 0.9 L PROMO</t>
  </si>
  <si>
    <t>SERVO HYPERSPORT 4T 20W-50-10X1.2L PROMO</t>
  </si>
  <si>
    <t>SERVO HYPERSPORT 4T 20W-50-20 X1 L PROMO</t>
  </si>
  <si>
    <t>SERVO HYPERSPORT 4T 20W-50-20X0.9L PROMO</t>
  </si>
  <si>
    <t>SERVO HYPERSPORT F5 10W-40-10X1.2L PROMO</t>
  </si>
  <si>
    <t>SERVO HYPERSPORT F5 10W-40-20X 1 L PROMO</t>
  </si>
  <si>
    <t>SERVO HYPERSPORT F5 10W-40-4X2.5L- PROMO</t>
  </si>
  <si>
    <t>SERVO HYPERSPORT F5 10W-50-10X1.2L PROMO</t>
  </si>
  <si>
    <t>SERVO HYPERSPORT F5 10W-50-20 X1 L PROMO</t>
  </si>
  <si>
    <t>SERVO HYPERSPORT F5 10W-50-4X2.5 L-PROMO</t>
  </si>
  <si>
    <t>SERVO HYPERSPORT F5 15W-50-10X1.2 LPROMO</t>
  </si>
  <si>
    <t>SERVO HYPERSPORT F5 15W-50-20 X 1L PROMO</t>
  </si>
  <si>
    <t>SERVO HYPERSPORT F5 15W-50-4X2.5 L-PROMO</t>
  </si>
  <si>
    <t>SERVO HYPERSPORT F5 20W-50-10X1.2L PROMO</t>
  </si>
  <si>
    <t>SERVO HYPERSPORT F5 20W-50-20X 1 L PROMO</t>
  </si>
  <si>
    <t>SERVO HYPERSPORT F5 20W-50-4X2.5 L-PROMO</t>
  </si>
  <si>
    <t>SERVO HYPERSPORT SCOOTER10W-30-20X0.8LPR</t>
  </si>
  <si>
    <t>SERVO HYPERDRIVE 5W-30-4X3.5 L PROMO</t>
  </si>
  <si>
    <t>SERVO HYPERDRIVE 5W-30-4 X 3 L PROMO</t>
  </si>
  <si>
    <t>SERVO HYPERDRIVE 5W-30-4 X 4 L PROMO</t>
  </si>
  <si>
    <t>SERVO HYPERDRIVE 5W-30-20 X 1 L PROMO</t>
  </si>
  <si>
    <t>SERVO HYPERDRIVE 0W-16-4X3.5 L PROMO</t>
  </si>
  <si>
    <t>SERVO HYPERDRIVE 0W-16-4 X 3 L PROMO</t>
  </si>
  <si>
    <t>SERVO HYPERDRIVE 0W-16-4 X 4 L PROMO</t>
  </si>
  <si>
    <t>SERVO HYPERDRIVE 0W-16-20 X 1 L PROMO</t>
  </si>
  <si>
    <t>SERVO HYPERDRIVE 0W-20-4X3.5 L PROMO</t>
  </si>
  <si>
    <t>SERVO HYPERDRIVE 0W-20-4 X 3 L PROMO</t>
  </si>
  <si>
    <t>SERVO HYPERDRIVE 0W-20-4 X 4 L PROMO</t>
  </si>
  <si>
    <t>SERVO HYPERDRIVE 0W-20-20 X 1 L PROMO</t>
  </si>
  <si>
    <t>SERVO HYPERDRIVE 5W-50-4X3.5 L PROMO</t>
  </si>
  <si>
    <t>SERVO HYPERDRIVE 5W-50-4 X 3 L PROMO</t>
  </si>
  <si>
    <t>SERVO HYPERDRIVE 5W-50-4 X 4 L PROMO</t>
  </si>
  <si>
    <t>SERVO HYPERDRIVE 5W-50-20 X 1 L PROMO</t>
  </si>
  <si>
    <t>SERVO HYPERDRIVE NXT 0W-16-4X3.5 L PROMO</t>
  </si>
  <si>
    <t>SERVO HYPERDRIVE NXT 0W-16-4 X 3 L PROMO</t>
  </si>
  <si>
    <t>SERVO HYPERDRIVE NXT 0W-16-4 X 4 L PROMO</t>
  </si>
  <si>
    <t>SERVO HYPERDRIVE NXT 0W-16-20 X1 L PROMO</t>
  </si>
  <si>
    <t>SERVO HYPERDRIVE NXT 0W-16-4 X 5 L PROMO</t>
  </si>
  <si>
    <t>SERVO HYPERDRIVE NXT 0W-40-4X3.5 L PROMO</t>
  </si>
  <si>
    <t>SERVO HYPERDRIVE NXT 0W-40-4 X 3 L PROMO</t>
  </si>
  <si>
    <t>SERVO HYPERDRIVE NXT 0W-40-4 X 4 L PROMO</t>
  </si>
  <si>
    <t>SERVO HYPRDRIVE NXT 0W-40-20 X 1 L PROMO</t>
  </si>
  <si>
    <t>SERVO HYPERDRIVE NXT 0W-40-4 X 5 L PROMO</t>
  </si>
  <si>
    <t>SERVO HYPERDRIVE NXT 10W-40-4X3.5L PROMO</t>
  </si>
  <si>
    <t>SERVO HYPE NXT10W-40-4 X 3 L PROMO</t>
  </si>
  <si>
    <t>SERVO HYPERDRIVE NXT 10W-40-4X 4 L PROMO</t>
  </si>
  <si>
    <t>SERVO HYPERDRIVE NXT 10W-40-20X1 L PROMO</t>
  </si>
  <si>
    <t>SERVO HYPERDRIVE NXT 10W-40-4X 5 L PROMO</t>
  </si>
  <si>
    <t>SERVO HYPERTORQ 10W-30-20 X 1 L PROMO</t>
  </si>
  <si>
    <t>SERVO HYPERTORQ 10W-30-4 X 5 L PROMO</t>
  </si>
  <si>
    <t>SERVO HYPERTORQ 10W-30-7.5 L PROMO</t>
  </si>
  <si>
    <t>SERVO HYPERTORQ 10W-30-15 L PROMO</t>
  </si>
  <si>
    <t>SERVO HYPERTORQ 10W-30-20 L PROMO</t>
  </si>
  <si>
    <t>SERVO HYPERTORQ 15W-40-18 L PROMO</t>
  </si>
  <si>
    <t>SERVO HYPERTORQ 15W-40-4 X 3 L PROMO</t>
  </si>
  <si>
    <t>SERVO HYPERTORQ 15W-40-20 X 1 L PROMO</t>
  </si>
  <si>
    <t>SERVO HYPERTORQ 15W-40-4 X 5 L PROMO</t>
  </si>
  <si>
    <t>SERVO HYPERTORQ 15W-40-10 L PROMO</t>
  </si>
  <si>
    <t>SERVO HYPERTORQ 15W-40-7.5 L PROMO</t>
  </si>
  <si>
    <t>SERVO HYPERTORQ 15W-40-15 L PROMO</t>
  </si>
  <si>
    <t>SERVO HYPERTORQ 15W-40-20 L PROMO</t>
  </si>
  <si>
    <t>SERVO HYPERTORQ NXT 10W-30-18 L PROMO</t>
  </si>
  <si>
    <t>SERVO HYPERTORQ NXT 10W-30-20X 1 L PROMO</t>
  </si>
  <si>
    <t>SERVO HYPERTORQ NXT 10W-30-4 X 5 L PROMO</t>
  </si>
  <si>
    <t>SERVO HYPERTORQ NXT 10W-30-7.5 L PROMO</t>
  </si>
  <si>
    <t>SERVO HYPERTORQ NXT 10W-30-15 L PROMO</t>
  </si>
  <si>
    <t>SERVO HYPERTORQ NXT 10W-30-20 L PROMO</t>
  </si>
  <si>
    <t>SERVO HYPERTORQ NXT 10W-40-18 L PROMO</t>
  </si>
  <si>
    <t>SERVO HYPERTORQ NXT 10W-40-20 X1 L PROMO</t>
  </si>
  <si>
    <t>SERVO HYPERTORQ NXT 10W-40-4 X 5 L PROMO</t>
  </si>
  <si>
    <t>SERVO HYPERTORQ NXT 10W-40-7.5 L PROMO</t>
  </si>
  <si>
    <t>SERVO HYPERTORQ NXT 10W-40-15 L PROMO</t>
  </si>
  <si>
    <t>SERVO HYPERTORQ NXT 10W-40-20 L PROMO</t>
  </si>
  <si>
    <t>SERVO HYPERTORQ NXT 15W-40-18 L PROMO</t>
  </si>
  <si>
    <t>SERVO HYPERTORQ NXT 15W-40-4 X 3 L PROMO</t>
  </si>
  <si>
    <t>SERVO HYPERTORQ NXT 15W-40-20 X1 L PROMO</t>
  </si>
  <si>
    <t>SERVO HYPERTORQ NXT 15W-40-4 X 5 L PROMO</t>
  </si>
  <si>
    <t>SERVO HYPERTORQ NXT 15W-40-10 L PROMO</t>
  </si>
  <si>
    <t>SERVO HYPERTORQ NXT 15W-40-7.5 L PROMO</t>
  </si>
  <si>
    <t>SERVO HYPERTORQ NXT 15W-40-15 L PROMO</t>
  </si>
  <si>
    <t>SERVO HYPERTORQ NXT 15W-40-20 L PROMO</t>
  </si>
  <si>
    <t>SERVO PRIDE ALT CK4 10W-30-18 L PROMO</t>
  </si>
  <si>
    <t>SER PR ALT CK4 10W30-20 X 1 L PROMO</t>
  </si>
  <si>
    <t>SERVO PRIDE ALT CK4 10W-30-18 L</t>
  </si>
  <si>
    <t>SERVO PRIDE ALT CK4 10W-30-16 L</t>
  </si>
  <si>
    <t>SERVO PRIDE ALT CK4 10W-30-16 L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</si>
</sst>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A4C3-BD46-4E8F-89CC-B3860F1112AE}">
  <dimension ref="A1:P505"/>
  <sheetViews>
    <sheetView tabSelected="1" workbookViewId="0">
      <selection activeCell="T8" sqref="T8"/>
    </sheetView>
  </sheetViews>
  <sheetFormatPr defaultRowHeight="15" x14ac:dyDescent="0.25"/>
  <cols>
    <col min="2" max="2" width="29.7109375" customWidth="1"/>
  </cols>
  <sheetData>
    <row r="1" spans="1:16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2502174</v>
      </c>
      <c r="B2" s="2" t="s">
        <v>16</v>
      </c>
      <c r="C2" s="3" t="s">
        <v>17</v>
      </c>
      <c r="D2" s="3"/>
      <c r="E2" s="3">
        <v>20</v>
      </c>
      <c r="F2" s="3">
        <v>0.5</v>
      </c>
      <c r="G2" s="3">
        <f t="shared" ref="G2:G65" si="0">E2/F2</f>
        <v>40</v>
      </c>
      <c r="H2" s="3">
        <v>250</v>
      </c>
      <c r="I2" s="4">
        <v>189.3</v>
      </c>
      <c r="J2" s="4">
        <f t="shared" ref="J2:J65" si="1">I2/1.18</f>
        <v>160.42372881355934</v>
      </c>
      <c r="K2" s="5">
        <v>0</v>
      </c>
      <c r="L2" s="5">
        <f t="shared" ref="L2:L65" si="2">(K2)*F2</f>
        <v>0</v>
      </c>
      <c r="M2" s="4">
        <f t="shared" ref="M2:M65" si="3">J2-L2</f>
        <v>160.42372881355934</v>
      </c>
      <c r="N2" s="3">
        <v>50</v>
      </c>
      <c r="O2" s="4">
        <f>M2-N2</f>
        <v>110.42372881355934</v>
      </c>
      <c r="P2" s="6">
        <f t="shared" ref="P2:P65" si="4">O2*1.18</f>
        <v>130.30000000000001</v>
      </c>
    </row>
    <row r="3" spans="1:16" x14ac:dyDescent="0.25">
      <c r="A3" s="2">
        <v>2502175</v>
      </c>
      <c r="B3" s="2" t="s">
        <v>18</v>
      </c>
      <c r="C3" s="3" t="s">
        <v>17</v>
      </c>
      <c r="D3" s="3"/>
      <c r="E3" s="3">
        <v>10</v>
      </c>
      <c r="F3" s="3">
        <v>0.5</v>
      </c>
      <c r="G3" s="3">
        <f t="shared" si="0"/>
        <v>20</v>
      </c>
      <c r="H3" s="3">
        <v>250</v>
      </c>
      <c r="I3" s="4">
        <v>189.3</v>
      </c>
      <c r="J3" s="4">
        <f t="shared" si="1"/>
        <v>160.42372881355934</v>
      </c>
      <c r="K3" s="5">
        <v>0</v>
      </c>
      <c r="L3" s="5">
        <f t="shared" si="2"/>
        <v>0</v>
      </c>
      <c r="M3" s="4">
        <f t="shared" si="3"/>
        <v>160.42372881355934</v>
      </c>
      <c r="N3" s="3">
        <v>50</v>
      </c>
      <c r="O3" s="4">
        <f t="shared" ref="O3:O66" si="5">M3-N3</f>
        <v>110.42372881355934</v>
      </c>
      <c r="P3" s="6">
        <f t="shared" si="4"/>
        <v>130.30000000000001</v>
      </c>
    </row>
    <row r="4" spans="1:16" x14ac:dyDescent="0.25">
      <c r="A4" s="2">
        <v>2502184</v>
      </c>
      <c r="B4" s="2" t="s">
        <v>19</v>
      </c>
      <c r="C4" s="3" t="s">
        <v>17</v>
      </c>
      <c r="D4" s="3"/>
      <c r="E4" s="3">
        <v>20</v>
      </c>
      <c r="F4" s="3">
        <v>1</v>
      </c>
      <c r="G4" s="3">
        <f t="shared" si="0"/>
        <v>20</v>
      </c>
      <c r="H4" s="3">
        <v>466</v>
      </c>
      <c r="I4" s="4">
        <v>360.45099999999996</v>
      </c>
      <c r="J4" s="4">
        <f t="shared" si="1"/>
        <v>305.46694915254238</v>
      </c>
      <c r="K4" s="5">
        <v>50</v>
      </c>
      <c r="L4" s="5">
        <f t="shared" si="2"/>
        <v>50</v>
      </c>
      <c r="M4" s="4">
        <f t="shared" si="3"/>
        <v>255.46694915254238</v>
      </c>
      <c r="N4" s="3">
        <v>50</v>
      </c>
      <c r="O4" s="4">
        <f t="shared" si="5"/>
        <v>205.46694915254238</v>
      </c>
      <c r="P4" s="6">
        <f t="shared" si="4"/>
        <v>242.45099999999999</v>
      </c>
    </row>
    <row r="5" spans="1:16" x14ac:dyDescent="0.25">
      <c r="A5" s="2">
        <v>2502234</v>
      </c>
      <c r="B5" s="2" t="s">
        <v>20</v>
      </c>
      <c r="C5" s="3" t="s">
        <v>17</v>
      </c>
      <c r="D5" s="3"/>
      <c r="E5" s="3">
        <v>20</v>
      </c>
      <c r="F5" s="3">
        <v>5</v>
      </c>
      <c r="G5" s="3">
        <f t="shared" si="0"/>
        <v>4</v>
      </c>
      <c r="H5" s="3">
        <v>2316</v>
      </c>
      <c r="I5" s="4">
        <v>1788.6468000000002</v>
      </c>
      <c r="J5" s="4">
        <f t="shared" si="1"/>
        <v>1515.8023728813562</v>
      </c>
      <c r="K5" s="5">
        <v>50</v>
      </c>
      <c r="L5" s="5">
        <f t="shared" si="2"/>
        <v>250</v>
      </c>
      <c r="M5" s="4">
        <f t="shared" si="3"/>
        <v>1265.8023728813562</v>
      </c>
      <c r="N5" s="3">
        <v>50</v>
      </c>
      <c r="O5" s="4">
        <f t="shared" si="5"/>
        <v>1215.8023728813562</v>
      </c>
      <c r="P5" s="6">
        <f t="shared" si="4"/>
        <v>1434.6468000000002</v>
      </c>
    </row>
    <row r="6" spans="1:16" x14ac:dyDescent="0.25">
      <c r="A6" s="2">
        <v>2502265</v>
      </c>
      <c r="B6" s="2" t="s">
        <v>21</v>
      </c>
      <c r="C6" s="3" t="s">
        <v>22</v>
      </c>
      <c r="D6" s="3"/>
      <c r="E6" s="3">
        <v>20</v>
      </c>
      <c r="F6" s="3">
        <v>20</v>
      </c>
      <c r="G6" s="3">
        <f t="shared" si="0"/>
        <v>1</v>
      </c>
      <c r="H6" s="3">
        <v>9088</v>
      </c>
      <c r="I6" s="4">
        <v>7065.92</v>
      </c>
      <c r="J6" s="4">
        <f t="shared" si="1"/>
        <v>5988.0677966101703</v>
      </c>
      <c r="K6" s="5">
        <v>50</v>
      </c>
      <c r="L6" s="5">
        <f t="shared" si="2"/>
        <v>1000</v>
      </c>
      <c r="M6" s="4">
        <f t="shared" si="3"/>
        <v>4988.0677966101703</v>
      </c>
      <c r="N6" s="3">
        <v>50</v>
      </c>
      <c r="O6" s="4">
        <f t="shared" si="5"/>
        <v>4938.0677966101703</v>
      </c>
      <c r="P6" s="6">
        <f t="shared" si="4"/>
        <v>5826.920000000001</v>
      </c>
    </row>
    <row r="7" spans="1:16" x14ac:dyDescent="0.25">
      <c r="A7" s="2">
        <v>2503184</v>
      </c>
      <c r="B7" s="2" t="s">
        <v>23</v>
      </c>
      <c r="C7" s="3" t="s">
        <v>17</v>
      </c>
      <c r="D7" s="3"/>
      <c r="E7" s="3">
        <v>20</v>
      </c>
      <c r="F7" s="3">
        <v>1</v>
      </c>
      <c r="G7" s="3">
        <f t="shared" si="0"/>
        <v>20</v>
      </c>
      <c r="H7" s="3">
        <v>484</v>
      </c>
      <c r="I7" s="4">
        <v>371.95399999999995</v>
      </c>
      <c r="J7" s="4">
        <f t="shared" si="1"/>
        <v>315.21525423728809</v>
      </c>
      <c r="K7" s="5">
        <v>50</v>
      </c>
      <c r="L7" s="5">
        <f t="shared" si="2"/>
        <v>50</v>
      </c>
      <c r="M7" s="4">
        <f t="shared" si="3"/>
        <v>265.21525423728809</v>
      </c>
      <c r="N7" s="3">
        <v>50</v>
      </c>
      <c r="O7" s="4">
        <f t="shared" si="5"/>
        <v>215.21525423728809</v>
      </c>
      <c r="P7" s="6">
        <f t="shared" si="4"/>
        <v>253.95399999999992</v>
      </c>
    </row>
    <row r="8" spans="1:16" x14ac:dyDescent="0.25">
      <c r="A8" s="2">
        <v>2503234</v>
      </c>
      <c r="B8" s="2" t="s">
        <v>24</v>
      </c>
      <c r="C8" s="3" t="s">
        <v>17</v>
      </c>
      <c r="D8" s="3"/>
      <c r="E8" s="3">
        <v>20</v>
      </c>
      <c r="F8" s="3">
        <v>5</v>
      </c>
      <c r="G8" s="3">
        <f t="shared" si="0"/>
        <v>4</v>
      </c>
      <c r="H8" s="3">
        <v>2364</v>
      </c>
      <c r="I8" s="4">
        <v>1843.92</v>
      </c>
      <c r="J8" s="4">
        <f t="shared" si="1"/>
        <v>1562.6440677966102</v>
      </c>
      <c r="K8" s="5">
        <v>50</v>
      </c>
      <c r="L8" s="5">
        <f t="shared" si="2"/>
        <v>250</v>
      </c>
      <c r="M8" s="4">
        <f t="shared" si="3"/>
        <v>1312.6440677966102</v>
      </c>
      <c r="N8" s="3">
        <v>50</v>
      </c>
      <c r="O8" s="4">
        <f t="shared" si="5"/>
        <v>1262.6440677966102</v>
      </c>
      <c r="P8" s="6">
        <f t="shared" si="4"/>
        <v>1489.92</v>
      </c>
    </row>
    <row r="9" spans="1:16" x14ac:dyDescent="0.25">
      <c r="A9" s="2">
        <v>2503265</v>
      </c>
      <c r="B9" s="2" t="s">
        <v>25</v>
      </c>
      <c r="C9" s="3" t="s">
        <v>22</v>
      </c>
      <c r="D9" s="3"/>
      <c r="E9" s="3">
        <v>20</v>
      </c>
      <c r="F9" s="3">
        <v>20</v>
      </c>
      <c r="G9" s="3">
        <f t="shared" si="0"/>
        <v>1</v>
      </c>
      <c r="H9" s="3">
        <v>9357</v>
      </c>
      <c r="I9" s="4">
        <v>7255.4178000000002</v>
      </c>
      <c r="J9" s="4">
        <f t="shared" si="1"/>
        <v>6148.6591525423737</v>
      </c>
      <c r="K9" s="5">
        <v>50</v>
      </c>
      <c r="L9" s="5">
        <f t="shared" si="2"/>
        <v>1000</v>
      </c>
      <c r="M9" s="4">
        <f t="shared" si="3"/>
        <v>5148.6591525423737</v>
      </c>
      <c r="N9" s="3"/>
      <c r="O9" s="4">
        <f t="shared" si="5"/>
        <v>5148.6591525423737</v>
      </c>
      <c r="P9" s="6">
        <f t="shared" si="4"/>
        <v>6075.4178000000011</v>
      </c>
    </row>
    <row r="10" spans="1:16" x14ac:dyDescent="0.25">
      <c r="A10" s="2">
        <v>2540199</v>
      </c>
      <c r="B10" s="2" t="s">
        <v>26</v>
      </c>
      <c r="C10" s="3" t="s">
        <v>17</v>
      </c>
      <c r="D10" s="3"/>
      <c r="E10" s="3">
        <v>8.4</v>
      </c>
      <c r="F10" s="3">
        <v>2.1</v>
      </c>
      <c r="G10" s="3">
        <f t="shared" si="0"/>
        <v>4</v>
      </c>
      <c r="H10" s="3">
        <v>876</v>
      </c>
      <c r="I10" s="4">
        <v>725.85360000000003</v>
      </c>
      <c r="J10" s="4">
        <f t="shared" si="1"/>
        <v>615.13016949152552</v>
      </c>
      <c r="K10" s="5">
        <v>0</v>
      </c>
      <c r="L10" s="5">
        <f t="shared" si="2"/>
        <v>0</v>
      </c>
      <c r="M10" s="4">
        <f t="shared" si="3"/>
        <v>615.13016949152552</v>
      </c>
      <c r="N10" s="3"/>
      <c r="O10" s="4">
        <f t="shared" si="5"/>
        <v>615.13016949152552</v>
      </c>
      <c r="P10" s="6">
        <f t="shared" si="4"/>
        <v>725.85360000000003</v>
      </c>
    </row>
    <row r="11" spans="1:16" x14ac:dyDescent="0.25">
      <c r="A11" s="2">
        <v>2557195</v>
      </c>
      <c r="B11" s="2" t="s">
        <v>27</v>
      </c>
      <c r="C11" s="3" t="s">
        <v>17</v>
      </c>
      <c r="D11" s="3"/>
      <c r="E11" s="3">
        <v>10</v>
      </c>
      <c r="F11" s="3">
        <v>2.5</v>
      </c>
      <c r="G11" s="3">
        <f t="shared" si="0"/>
        <v>4</v>
      </c>
      <c r="H11" s="3">
        <v>1488</v>
      </c>
      <c r="I11" s="4">
        <v>1340.0928000000001</v>
      </c>
      <c r="J11" s="4">
        <f t="shared" si="1"/>
        <v>1135.6718644067798</v>
      </c>
      <c r="K11" s="5">
        <v>0</v>
      </c>
      <c r="L11" s="5">
        <f t="shared" si="2"/>
        <v>0</v>
      </c>
      <c r="M11" s="4">
        <f t="shared" si="3"/>
        <v>1135.6718644067798</v>
      </c>
      <c r="N11" s="3"/>
      <c r="O11" s="4">
        <f t="shared" si="5"/>
        <v>1135.6718644067798</v>
      </c>
      <c r="P11" s="6">
        <f t="shared" si="4"/>
        <v>1340.0928000000001</v>
      </c>
    </row>
    <row r="12" spans="1:16" x14ac:dyDescent="0.25">
      <c r="A12" s="2">
        <v>2885036</v>
      </c>
      <c r="B12" s="2" t="s">
        <v>28</v>
      </c>
      <c r="C12" s="3" t="s">
        <v>17</v>
      </c>
      <c r="D12" s="3"/>
      <c r="E12" s="3">
        <v>12</v>
      </c>
      <c r="F12" s="3">
        <v>0.6</v>
      </c>
      <c r="G12" s="3">
        <f t="shared" si="0"/>
        <v>20</v>
      </c>
      <c r="H12" s="3">
        <v>419</v>
      </c>
      <c r="I12" s="4">
        <v>304.6968</v>
      </c>
      <c r="J12" s="4">
        <f t="shared" si="1"/>
        <v>258.21762711864409</v>
      </c>
      <c r="K12" s="5">
        <v>85</v>
      </c>
      <c r="L12" s="5">
        <f t="shared" si="2"/>
        <v>51</v>
      </c>
      <c r="M12" s="4">
        <f t="shared" si="3"/>
        <v>207.21762711864409</v>
      </c>
      <c r="N12" s="3"/>
      <c r="O12" s="4">
        <f t="shared" si="5"/>
        <v>207.21762711864409</v>
      </c>
      <c r="P12" s="6">
        <f t="shared" si="4"/>
        <v>244.51680000000002</v>
      </c>
    </row>
    <row r="13" spans="1:16" x14ac:dyDescent="0.25">
      <c r="A13" s="2">
        <v>2889156</v>
      </c>
      <c r="B13" s="2" t="s">
        <v>29</v>
      </c>
      <c r="C13" s="3" t="s">
        <v>17</v>
      </c>
      <c r="D13" s="3"/>
      <c r="E13" s="3">
        <v>16</v>
      </c>
      <c r="F13" s="3">
        <v>0.8</v>
      </c>
      <c r="G13" s="3">
        <f t="shared" si="0"/>
        <v>20</v>
      </c>
      <c r="H13" s="3">
        <v>483</v>
      </c>
      <c r="I13" s="4">
        <v>327.7638</v>
      </c>
      <c r="J13" s="4">
        <f t="shared" si="1"/>
        <v>277.76593220338987</v>
      </c>
      <c r="K13" s="5">
        <v>60</v>
      </c>
      <c r="L13" s="5">
        <f t="shared" si="2"/>
        <v>48</v>
      </c>
      <c r="M13" s="4">
        <f t="shared" si="3"/>
        <v>229.76593220338987</v>
      </c>
      <c r="N13" s="3"/>
      <c r="O13" s="4">
        <f t="shared" si="5"/>
        <v>229.76593220338987</v>
      </c>
      <c r="P13" s="6">
        <f t="shared" si="4"/>
        <v>271.12380000000002</v>
      </c>
    </row>
    <row r="14" spans="1:16" x14ac:dyDescent="0.25">
      <c r="A14" s="2">
        <v>2900103</v>
      </c>
      <c r="B14" s="2" t="s">
        <v>30</v>
      </c>
      <c r="C14" s="3" t="s">
        <v>17</v>
      </c>
      <c r="D14" s="3"/>
      <c r="E14" s="3">
        <v>12</v>
      </c>
      <c r="F14" s="3">
        <v>0.02</v>
      </c>
      <c r="G14" s="3">
        <f t="shared" si="0"/>
        <v>600</v>
      </c>
      <c r="H14" s="3">
        <v>14</v>
      </c>
      <c r="I14" s="4">
        <v>8.3103999999999996</v>
      </c>
      <c r="J14" s="4">
        <f t="shared" si="1"/>
        <v>7.0427118644067797</v>
      </c>
      <c r="K14" s="5">
        <v>0</v>
      </c>
      <c r="L14" s="5">
        <f t="shared" si="2"/>
        <v>0</v>
      </c>
      <c r="M14" s="4">
        <f t="shared" si="3"/>
        <v>7.0427118644067797</v>
      </c>
      <c r="N14" s="3"/>
      <c r="O14" s="4">
        <f t="shared" si="5"/>
        <v>7.0427118644067797</v>
      </c>
      <c r="P14" s="6">
        <f t="shared" si="4"/>
        <v>8.3103999999999996</v>
      </c>
    </row>
    <row r="15" spans="1:16" x14ac:dyDescent="0.25">
      <c r="A15" s="2">
        <v>2900125</v>
      </c>
      <c r="B15" s="2" t="s">
        <v>31</v>
      </c>
      <c r="C15" s="3" t="s">
        <v>17</v>
      </c>
      <c r="D15" s="3"/>
      <c r="E15" s="3">
        <v>12</v>
      </c>
      <c r="F15" s="3">
        <v>0.04</v>
      </c>
      <c r="G15" s="3">
        <f t="shared" si="0"/>
        <v>300</v>
      </c>
      <c r="H15" s="3">
        <v>25</v>
      </c>
      <c r="I15" s="4">
        <v>16.489999999999998</v>
      </c>
      <c r="J15" s="4">
        <f t="shared" si="1"/>
        <v>13.974576271186439</v>
      </c>
      <c r="K15" s="5">
        <v>0</v>
      </c>
      <c r="L15" s="5">
        <f t="shared" si="2"/>
        <v>0</v>
      </c>
      <c r="M15" s="4">
        <f t="shared" si="3"/>
        <v>13.974576271186439</v>
      </c>
      <c r="N15" s="3"/>
      <c r="O15" s="4">
        <f t="shared" si="5"/>
        <v>13.974576271186439</v>
      </c>
      <c r="P15" s="6">
        <f t="shared" si="4"/>
        <v>16.489999999999998</v>
      </c>
    </row>
    <row r="16" spans="1:16" x14ac:dyDescent="0.25">
      <c r="A16" s="2">
        <v>2900145</v>
      </c>
      <c r="B16" s="2" t="s">
        <v>32</v>
      </c>
      <c r="C16" s="3" t="s">
        <v>17</v>
      </c>
      <c r="D16" s="3"/>
      <c r="E16" s="3">
        <v>12</v>
      </c>
      <c r="F16" s="3">
        <v>0.06</v>
      </c>
      <c r="G16" s="3">
        <f t="shared" si="0"/>
        <v>200</v>
      </c>
      <c r="H16" s="3">
        <v>32</v>
      </c>
      <c r="I16" s="4">
        <v>24.2912</v>
      </c>
      <c r="J16" s="4">
        <f t="shared" si="1"/>
        <v>20.585762711864408</v>
      </c>
      <c r="K16" s="5">
        <v>0</v>
      </c>
      <c r="L16" s="5">
        <f t="shared" si="2"/>
        <v>0</v>
      </c>
      <c r="M16" s="4">
        <f t="shared" si="3"/>
        <v>20.585762711864408</v>
      </c>
      <c r="N16" s="3"/>
      <c r="O16" s="4">
        <f t="shared" si="5"/>
        <v>20.585762711864408</v>
      </c>
      <c r="P16" s="6">
        <f t="shared" si="4"/>
        <v>24.2912</v>
      </c>
    </row>
    <row r="17" spans="1:16" x14ac:dyDescent="0.25">
      <c r="A17" s="2">
        <v>2900165</v>
      </c>
      <c r="B17" s="2" t="s">
        <v>33</v>
      </c>
      <c r="C17" s="3" t="s">
        <v>17</v>
      </c>
      <c r="D17" s="3"/>
      <c r="E17" s="3">
        <v>5</v>
      </c>
      <c r="F17" s="3">
        <v>0.25</v>
      </c>
      <c r="G17" s="3">
        <f t="shared" si="0"/>
        <v>20</v>
      </c>
      <c r="H17" s="3">
        <v>144</v>
      </c>
      <c r="I17" s="4">
        <v>100.2672</v>
      </c>
      <c r="J17" s="4">
        <f t="shared" si="1"/>
        <v>84.972203389830511</v>
      </c>
      <c r="K17" s="5">
        <v>0</v>
      </c>
      <c r="L17" s="5">
        <f t="shared" si="2"/>
        <v>0</v>
      </c>
      <c r="M17" s="4">
        <f t="shared" si="3"/>
        <v>84.972203389830511</v>
      </c>
      <c r="N17" s="3"/>
      <c r="O17" s="4">
        <f t="shared" si="5"/>
        <v>84.972203389830511</v>
      </c>
      <c r="P17" s="6">
        <f t="shared" si="4"/>
        <v>100.2672</v>
      </c>
    </row>
    <row r="18" spans="1:16" x14ac:dyDescent="0.25">
      <c r="A18" s="2">
        <v>2900174</v>
      </c>
      <c r="B18" s="2" t="s">
        <v>34</v>
      </c>
      <c r="C18" s="3" t="s">
        <v>17</v>
      </c>
      <c r="D18" s="3"/>
      <c r="E18" s="3">
        <v>20</v>
      </c>
      <c r="F18" s="3">
        <v>0.5</v>
      </c>
      <c r="G18" s="3">
        <f t="shared" si="0"/>
        <v>40</v>
      </c>
      <c r="H18" s="3">
        <v>237</v>
      </c>
      <c r="I18" s="4">
        <v>182.41890000000001</v>
      </c>
      <c r="J18" s="4">
        <f t="shared" si="1"/>
        <v>154.59228813559324</v>
      </c>
      <c r="K18" s="5">
        <v>0</v>
      </c>
      <c r="L18" s="5">
        <f t="shared" si="2"/>
        <v>0</v>
      </c>
      <c r="M18" s="4">
        <f t="shared" si="3"/>
        <v>154.59228813559324</v>
      </c>
      <c r="N18" s="3"/>
      <c r="O18" s="4">
        <f t="shared" si="5"/>
        <v>154.59228813559324</v>
      </c>
      <c r="P18" s="6">
        <f t="shared" si="4"/>
        <v>182.41890000000001</v>
      </c>
    </row>
    <row r="19" spans="1:16" x14ac:dyDescent="0.25">
      <c r="A19" s="2">
        <v>2900175</v>
      </c>
      <c r="B19" s="2" t="s">
        <v>35</v>
      </c>
      <c r="C19" s="3" t="s">
        <v>17</v>
      </c>
      <c r="D19" s="3"/>
      <c r="E19" s="3">
        <v>10</v>
      </c>
      <c r="F19" s="3">
        <v>0.5</v>
      </c>
      <c r="G19" s="3">
        <f t="shared" si="0"/>
        <v>20</v>
      </c>
      <c r="H19" s="3">
        <v>237</v>
      </c>
      <c r="I19" s="4">
        <v>182.41890000000001</v>
      </c>
      <c r="J19" s="4">
        <f t="shared" si="1"/>
        <v>154.59228813559324</v>
      </c>
      <c r="K19" s="5">
        <v>0</v>
      </c>
      <c r="L19" s="5">
        <f t="shared" si="2"/>
        <v>0</v>
      </c>
      <c r="M19" s="4">
        <f t="shared" si="3"/>
        <v>154.59228813559324</v>
      </c>
      <c r="N19" s="3"/>
      <c r="O19" s="4">
        <f t="shared" si="5"/>
        <v>154.59228813559324</v>
      </c>
      <c r="P19" s="6">
        <f t="shared" si="4"/>
        <v>182.41890000000001</v>
      </c>
    </row>
    <row r="20" spans="1:16" x14ac:dyDescent="0.25">
      <c r="A20" s="2">
        <v>2900184</v>
      </c>
      <c r="B20" s="2" t="s">
        <v>36</v>
      </c>
      <c r="C20" s="3" t="s">
        <v>17</v>
      </c>
      <c r="D20" s="3"/>
      <c r="E20" s="3">
        <v>20</v>
      </c>
      <c r="F20" s="3">
        <v>1</v>
      </c>
      <c r="G20" s="3">
        <f t="shared" si="0"/>
        <v>20</v>
      </c>
      <c r="H20" s="3">
        <v>446</v>
      </c>
      <c r="I20" s="4">
        <v>352.8306</v>
      </c>
      <c r="J20" s="4">
        <f t="shared" si="1"/>
        <v>299.00898305084746</v>
      </c>
      <c r="K20" s="5">
        <v>0</v>
      </c>
      <c r="L20" s="5">
        <f t="shared" si="2"/>
        <v>0</v>
      </c>
      <c r="M20" s="4">
        <f t="shared" si="3"/>
        <v>299.00898305084746</v>
      </c>
      <c r="N20" s="3"/>
      <c r="O20" s="4">
        <f t="shared" si="5"/>
        <v>299.00898305084746</v>
      </c>
      <c r="P20" s="6">
        <f t="shared" si="4"/>
        <v>352.8306</v>
      </c>
    </row>
    <row r="21" spans="1:16" x14ac:dyDescent="0.25">
      <c r="A21" s="2">
        <v>2900234</v>
      </c>
      <c r="B21" s="2" t="s">
        <v>37</v>
      </c>
      <c r="C21" s="3" t="s">
        <v>17</v>
      </c>
      <c r="D21" s="3"/>
      <c r="E21" s="3">
        <v>20</v>
      </c>
      <c r="F21" s="3">
        <v>5</v>
      </c>
      <c r="G21" s="3">
        <f t="shared" si="0"/>
        <v>4</v>
      </c>
      <c r="H21" s="3">
        <v>2252</v>
      </c>
      <c r="I21" s="4">
        <v>1752.7316000000001</v>
      </c>
      <c r="J21" s="4">
        <f t="shared" si="1"/>
        <v>1485.3657627118646</v>
      </c>
      <c r="K21" s="5">
        <v>0</v>
      </c>
      <c r="L21" s="5">
        <f t="shared" si="2"/>
        <v>0</v>
      </c>
      <c r="M21" s="4">
        <f t="shared" si="3"/>
        <v>1485.3657627118646</v>
      </c>
      <c r="N21" s="3"/>
      <c r="O21" s="4">
        <f t="shared" si="5"/>
        <v>1485.3657627118646</v>
      </c>
      <c r="P21" s="6">
        <f t="shared" si="4"/>
        <v>1752.7316000000001</v>
      </c>
    </row>
    <row r="22" spans="1:16" x14ac:dyDescent="0.25">
      <c r="A22" s="2">
        <v>2909165</v>
      </c>
      <c r="B22" s="2" t="s">
        <v>38</v>
      </c>
      <c r="C22" s="3" t="s">
        <v>17</v>
      </c>
      <c r="D22" s="3"/>
      <c r="E22" s="3">
        <v>5</v>
      </c>
      <c r="F22" s="3">
        <v>0.25</v>
      </c>
      <c r="G22" s="3">
        <f t="shared" si="0"/>
        <v>20</v>
      </c>
      <c r="H22" s="3">
        <v>121.5</v>
      </c>
      <c r="I22" s="4">
        <v>99.751499999999993</v>
      </c>
      <c r="J22" s="4">
        <f t="shared" si="1"/>
        <v>84.535169491525423</v>
      </c>
      <c r="K22" s="5">
        <v>0</v>
      </c>
      <c r="L22" s="5">
        <f t="shared" si="2"/>
        <v>0</v>
      </c>
      <c r="M22" s="4">
        <f t="shared" si="3"/>
        <v>84.535169491525423</v>
      </c>
      <c r="N22" s="3"/>
      <c r="O22" s="4">
        <f t="shared" si="5"/>
        <v>84.535169491525423</v>
      </c>
      <c r="P22" s="6">
        <f t="shared" si="4"/>
        <v>99.751499999999993</v>
      </c>
    </row>
    <row r="23" spans="1:16" x14ac:dyDescent="0.25">
      <c r="A23" s="2">
        <v>2909175</v>
      </c>
      <c r="B23" s="2" t="s">
        <v>39</v>
      </c>
      <c r="C23" s="3" t="s">
        <v>17</v>
      </c>
      <c r="D23" s="3"/>
      <c r="E23" s="3">
        <v>10</v>
      </c>
      <c r="F23" s="3">
        <v>0.5</v>
      </c>
      <c r="G23" s="3">
        <f t="shared" si="0"/>
        <v>20</v>
      </c>
      <c r="H23" s="3">
        <v>235</v>
      </c>
      <c r="I23" s="4">
        <v>193.6635</v>
      </c>
      <c r="J23" s="4">
        <f t="shared" si="1"/>
        <v>164.12161016949153</v>
      </c>
      <c r="K23" s="5">
        <v>0</v>
      </c>
      <c r="L23" s="5">
        <f t="shared" si="2"/>
        <v>0</v>
      </c>
      <c r="M23" s="4">
        <f t="shared" si="3"/>
        <v>164.12161016949153</v>
      </c>
      <c r="N23" s="3"/>
      <c r="O23" s="4">
        <f t="shared" si="5"/>
        <v>164.12161016949153</v>
      </c>
      <c r="P23" s="6">
        <f t="shared" si="4"/>
        <v>193.6635</v>
      </c>
    </row>
    <row r="24" spans="1:16" x14ac:dyDescent="0.25">
      <c r="A24" s="2">
        <v>2914165</v>
      </c>
      <c r="B24" s="2" t="s">
        <v>40</v>
      </c>
      <c r="C24" s="3" t="s">
        <v>17</v>
      </c>
      <c r="D24" s="3"/>
      <c r="E24" s="3">
        <v>5</v>
      </c>
      <c r="F24" s="3">
        <v>0.25</v>
      </c>
      <c r="G24" s="3">
        <f t="shared" si="0"/>
        <v>20</v>
      </c>
      <c r="H24" s="3">
        <v>170.5</v>
      </c>
      <c r="I24" s="4">
        <v>124.65254999999999</v>
      </c>
      <c r="J24" s="4">
        <f t="shared" si="1"/>
        <v>105.63775423728814</v>
      </c>
      <c r="K24" s="5">
        <v>0</v>
      </c>
      <c r="L24" s="5">
        <f t="shared" si="2"/>
        <v>0</v>
      </c>
      <c r="M24" s="4">
        <f t="shared" si="3"/>
        <v>105.63775423728814</v>
      </c>
      <c r="N24" s="3"/>
      <c r="O24" s="4">
        <f t="shared" si="5"/>
        <v>105.63775423728814</v>
      </c>
      <c r="P24" s="6">
        <f t="shared" si="4"/>
        <v>124.65254999999999</v>
      </c>
    </row>
    <row r="25" spans="1:16" x14ac:dyDescent="0.25">
      <c r="A25" s="2">
        <v>2914175</v>
      </c>
      <c r="B25" s="2" t="s">
        <v>41</v>
      </c>
      <c r="C25" s="3" t="s">
        <v>17</v>
      </c>
      <c r="D25" s="3"/>
      <c r="E25" s="3">
        <v>10</v>
      </c>
      <c r="F25" s="3">
        <v>0.5</v>
      </c>
      <c r="G25" s="3">
        <f t="shared" si="0"/>
        <v>20</v>
      </c>
      <c r="H25" s="3">
        <v>325</v>
      </c>
      <c r="I25" s="4">
        <v>239.88249999999999</v>
      </c>
      <c r="J25" s="4">
        <f t="shared" si="1"/>
        <v>203.29025423728814</v>
      </c>
      <c r="K25" s="5">
        <v>0</v>
      </c>
      <c r="L25" s="5">
        <f t="shared" si="2"/>
        <v>0</v>
      </c>
      <c r="M25" s="4">
        <f t="shared" si="3"/>
        <v>203.29025423728814</v>
      </c>
      <c r="N25" s="3"/>
      <c r="O25" s="4">
        <f t="shared" si="5"/>
        <v>203.29025423728814</v>
      </c>
      <c r="P25" s="6">
        <f t="shared" si="4"/>
        <v>239.88249999999999</v>
      </c>
    </row>
    <row r="26" spans="1:16" x14ac:dyDescent="0.25">
      <c r="A26" s="2">
        <v>2924229</v>
      </c>
      <c r="B26" s="2" t="s">
        <v>42</v>
      </c>
      <c r="C26" s="3" t="s">
        <v>17</v>
      </c>
      <c r="D26" s="3"/>
      <c r="E26" s="3">
        <v>20</v>
      </c>
      <c r="F26" s="3">
        <v>1</v>
      </c>
      <c r="G26" s="3">
        <f t="shared" si="0"/>
        <v>20</v>
      </c>
      <c r="H26" s="3">
        <v>518</v>
      </c>
      <c r="I26" s="4">
        <v>364.20580000000001</v>
      </c>
      <c r="J26" s="4">
        <f t="shared" si="1"/>
        <v>308.64898305084751</v>
      </c>
      <c r="K26" s="5">
        <v>55</v>
      </c>
      <c r="L26" s="5">
        <f t="shared" si="2"/>
        <v>55</v>
      </c>
      <c r="M26" s="4">
        <f t="shared" si="3"/>
        <v>253.64898305084751</v>
      </c>
      <c r="N26" s="3"/>
      <c r="O26" s="4">
        <f t="shared" si="5"/>
        <v>253.64898305084751</v>
      </c>
      <c r="P26" s="6">
        <f t="shared" si="4"/>
        <v>299.30580000000003</v>
      </c>
    </row>
    <row r="27" spans="1:16" x14ac:dyDescent="0.25">
      <c r="A27" s="2">
        <v>2924230</v>
      </c>
      <c r="B27" s="2" t="s">
        <v>43</v>
      </c>
      <c r="C27" s="3" t="s">
        <v>17</v>
      </c>
      <c r="D27" s="3"/>
      <c r="E27" s="3">
        <v>18</v>
      </c>
      <c r="F27" s="3">
        <v>0.9</v>
      </c>
      <c r="G27" s="3">
        <f t="shared" si="0"/>
        <v>20</v>
      </c>
      <c r="H27" s="3">
        <v>479</v>
      </c>
      <c r="I27" s="4">
        <v>334.67730000000006</v>
      </c>
      <c r="J27" s="4">
        <f t="shared" si="1"/>
        <v>283.62483050847464</v>
      </c>
      <c r="K27" s="5">
        <v>55</v>
      </c>
      <c r="L27" s="5">
        <f t="shared" si="2"/>
        <v>49.5</v>
      </c>
      <c r="M27" s="4">
        <f t="shared" si="3"/>
        <v>234.12483050847464</v>
      </c>
      <c r="N27" s="3"/>
      <c r="O27" s="4">
        <f t="shared" si="5"/>
        <v>234.12483050847464</v>
      </c>
      <c r="P27" s="6">
        <f t="shared" si="4"/>
        <v>276.26730000000009</v>
      </c>
    </row>
    <row r="28" spans="1:16" x14ac:dyDescent="0.25">
      <c r="A28" s="2">
        <v>2927152</v>
      </c>
      <c r="B28" s="2" t="s">
        <v>44</v>
      </c>
      <c r="C28" s="3" t="s">
        <v>17</v>
      </c>
      <c r="D28" s="3"/>
      <c r="E28" s="3">
        <v>18</v>
      </c>
      <c r="F28" s="3">
        <v>0.9</v>
      </c>
      <c r="G28" s="3">
        <f t="shared" si="0"/>
        <v>20</v>
      </c>
      <c r="H28" s="3">
        <v>515</v>
      </c>
      <c r="I28" s="4">
        <v>405.92299999999994</v>
      </c>
      <c r="J28" s="4">
        <f t="shared" si="1"/>
        <v>344.00254237288135</v>
      </c>
      <c r="K28" s="5">
        <v>25</v>
      </c>
      <c r="L28" s="5">
        <f t="shared" si="2"/>
        <v>22.5</v>
      </c>
      <c r="M28" s="4">
        <f t="shared" si="3"/>
        <v>321.50254237288135</v>
      </c>
      <c r="N28" s="3"/>
      <c r="O28" s="4">
        <f t="shared" si="5"/>
        <v>321.50254237288135</v>
      </c>
      <c r="P28" s="6">
        <f t="shared" si="4"/>
        <v>379.37299999999999</v>
      </c>
    </row>
    <row r="29" spans="1:16" x14ac:dyDescent="0.25">
      <c r="A29" s="2">
        <v>2927184</v>
      </c>
      <c r="B29" s="2" t="s">
        <v>45</v>
      </c>
      <c r="C29" s="3" t="s">
        <v>17</v>
      </c>
      <c r="D29" s="3"/>
      <c r="E29" s="3">
        <v>20</v>
      </c>
      <c r="F29" s="3">
        <v>1</v>
      </c>
      <c r="G29" s="3">
        <f t="shared" si="0"/>
        <v>20</v>
      </c>
      <c r="H29" s="3">
        <v>570</v>
      </c>
      <c r="I29" s="4">
        <v>450.98400000000004</v>
      </c>
      <c r="J29" s="4">
        <f t="shared" si="1"/>
        <v>382.18983050847464</v>
      </c>
      <c r="K29" s="5">
        <v>25</v>
      </c>
      <c r="L29" s="5">
        <f t="shared" si="2"/>
        <v>25</v>
      </c>
      <c r="M29" s="4">
        <f t="shared" si="3"/>
        <v>357.18983050847464</v>
      </c>
      <c r="N29" s="3"/>
      <c r="O29" s="4">
        <f t="shared" si="5"/>
        <v>357.18983050847464</v>
      </c>
      <c r="P29" s="6">
        <f t="shared" si="4"/>
        <v>421.48400000000004</v>
      </c>
    </row>
    <row r="30" spans="1:16" x14ac:dyDescent="0.25">
      <c r="A30" s="2">
        <v>2931225</v>
      </c>
      <c r="B30" s="2" t="s">
        <v>46</v>
      </c>
      <c r="C30" s="3" t="s">
        <v>17</v>
      </c>
      <c r="D30" s="3"/>
      <c r="E30" s="3">
        <v>24</v>
      </c>
      <c r="F30" s="3">
        <v>1.2</v>
      </c>
      <c r="G30" s="3">
        <f t="shared" si="0"/>
        <v>20</v>
      </c>
      <c r="H30" s="3">
        <v>731</v>
      </c>
      <c r="I30" s="4">
        <v>469.52130000000005</v>
      </c>
      <c r="J30" s="4">
        <f t="shared" si="1"/>
        <v>397.89940677966109</v>
      </c>
      <c r="K30" s="5">
        <v>55</v>
      </c>
      <c r="L30" s="5">
        <f t="shared" si="2"/>
        <v>66</v>
      </c>
      <c r="M30" s="4">
        <f t="shared" si="3"/>
        <v>331.89940677966109</v>
      </c>
      <c r="N30" s="3"/>
      <c r="O30" s="4">
        <f t="shared" si="5"/>
        <v>331.89940677966109</v>
      </c>
      <c r="P30" s="6">
        <f t="shared" si="4"/>
        <v>391.64130000000006</v>
      </c>
    </row>
    <row r="31" spans="1:16" x14ac:dyDescent="0.25">
      <c r="A31" s="2">
        <v>2931229</v>
      </c>
      <c r="B31" s="2" t="s">
        <v>47</v>
      </c>
      <c r="C31" s="3" t="s">
        <v>17</v>
      </c>
      <c r="D31" s="3"/>
      <c r="E31" s="3">
        <v>20</v>
      </c>
      <c r="F31" s="3">
        <v>1</v>
      </c>
      <c r="G31" s="3">
        <f t="shared" si="0"/>
        <v>20</v>
      </c>
      <c r="H31" s="3">
        <v>579</v>
      </c>
      <c r="I31" s="4">
        <v>369.98099999999999</v>
      </c>
      <c r="J31" s="4">
        <f t="shared" si="1"/>
        <v>313.54322033898308</v>
      </c>
      <c r="K31" s="5">
        <v>55</v>
      </c>
      <c r="L31" s="5">
        <f t="shared" si="2"/>
        <v>55</v>
      </c>
      <c r="M31" s="4">
        <f t="shared" si="3"/>
        <v>258.54322033898308</v>
      </c>
      <c r="N31" s="3"/>
      <c r="O31" s="4">
        <f t="shared" si="5"/>
        <v>258.54322033898308</v>
      </c>
      <c r="P31" s="6">
        <f t="shared" si="4"/>
        <v>305.08100000000002</v>
      </c>
    </row>
    <row r="32" spans="1:16" x14ac:dyDescent="0.25">
      <c r="A32" s="2">
        <v>2936230</v>
      </c>
      <c r="B32" s="2" t="s">
        <v>48</v>
      </c>
      <c r="C32" s="3" t="s">
        <v>17</v>
      </c>
      <c r="D32" s="3"/>
      <c r="E32" s="3">
        <v>18</v>
      </c>
      <c r="F32" s="3">
        <v>0.9</v>
      </c>
      <c r="G32" s="3">
        <f t="shared" si="0"/>
        <v>20</v>
      </c>
      <c r="H32" s="3">
        <v>432</v>
      </c>
      <c r="I32" s="4">
        <v>297.51840000000004</v>
      </c>
      <c r="J32" s="4">
        <f t="shared" si="1"/>
        <v>252.13423728813564</v>
      </c>
      <c r="K32" s="5">
        <v>40</v>
      </c>
      <c r="L32" s="5">
        <f t="shared" si="2"/>
        <v>36</v>
      </c>
      <c r="M32" s="4">
        <f t="shared" si="3"/>
        <v>216.13423728813564</v>
      </c>
      <c r="N32" s="3"/>
      <c r="O32" s="4">
        <f t="shared" si="5"/>
        <v>216.13423728813564</v>
      </c>
      <c r="P32" s="6">
        <f t="shared" si="4"/>
        <v>255.03840000000002</v>
      </c>
    </row>
    <row r="33" spans="1:16" x14ac:dyDescent="0.25">
      <c r="A33" s="2">
        <v>2941184</v>
      </c>
      <c r="B33" s="2" t="s">
        <v>49</v>
      </c>
      <c r="C33" s="3" t="s">
        <v>17</v>
      </c>
      <c r="D33" s="3"/>
      <c r="E33" s="3">
        <v>20</v>
      </c>
      <c r="F33" s="3">
        <v>1</v>
      </c>
      <c r="G33" s="3">
        <f t="shared" si="0"/>
        <v>20</v>
      </c>
      <c r="H33" s="3">
        <v>444</v>
      </c>
      <c r="I33" s="4">
        <v>346.8972</v>
      </c>
      <c r="J33" s="4">
        <f t="shared" si="1"/>
        <v>293.98067796610172</v>
      </c>
      <c r="K33" s="5">
        <v>30</v>
      </c>
      <c r="L33" s="5">
        <f t="shared" si="2"/>
        <v>30</v>
      </c>
      <c r="M33" s="4">
        <f t="shared" si="3"/>
        <v>263.98067796610172</v>
      </c>
      <c r="N33" s="3"/>
      <c r="O33" s="4">
        <f t="shared" si="5"/>
        <v>263.98067796610172</v>
      </c>
      <c r="P33" s="6">
        <f t="shared" si="4"/>
        <v>311.49720000000002</v>
      </c>
    </row>
    <row r="34" spans="1:16" x14ac:dyDescent="0.25">
      <c r="A34" s="2">
        <v>2941234</v>
      </c>
      <c r="B34" s="2" t="s">
        <v>50</v>
      </c>
      <c r="C34" s="3" t="s">
        <v>17</v>
      </c>
      <c r="D34" s="3"/>
      <c r="E34" s="3">
        <v>20</v>
      </c>
      <c r="F34" s="3">
        <v>5</v>
      </c>
      <c r="G34" s="3">
        <f t="shared" si="0"/>
        <v>4</v>
      </c>
      <c r="H34" s="3">
        <v>2238</v>
      </c>
      <c r="I34" s="4">
        <v>1716.7697999999998</v>
      </c>
      <c r="J34" s="4">
        <f t="shared" si="1"/>
        <v>1454.889661016949</v>
      </c>
      <c r="K34" s="5">
        <v>30</v>
      </c>
      <c r="L34" s="5">
        <f t="shared" si="2"/>
        <v>150</v>
      </c>
      <c r="M34" s="4">
        <f t="shared" si="3"/>
        <v>1304.889661016949</v>
      </c>
      <c r="N34" s="3"/>
      <c r="O34" s="4">
        <f t="shared" si="5"/>
        <v>1304.889661016949</v>
      </c>
      <c r="P34" s="6">
        <f t="shared" si="4"/>
        <v>1539.7697999999998</v>
      </c>
    </row>
    <row r="35" spans="1:16" x14ac:dyDescent="0.25">
      <c r="A35" s="2">
        <v>2941265</v>
      </c>
      <c r="B35" s="2" t="s">
        <v>51</v>
      </c>
      <c r="C35" s="3" t="s">
        <v>22</v>
      </c>
      <c r="D35" s="3"/>
      <c r="E35" s="3">
        <v>20</v>
      </c>
      <c r="F35" s="3">
        <v>20</v>
      </c>
      <c r="G35" s="3">
        <f t="shared" si="0"/>
        <v>1</v>
      </c>
      <c r="H35" s="3">
        <v>8614</v>
      </c>
      <c r="I35" s="4">
        <v>6757.6830000000009</v>
      </c>
      <c r="J35" s="4">
        <f t="shared" si="1"/>
        <v>5726.8500000000013</v>
      </c>
      <c r="K35" s="5">
        <v>30</v>
      </c>
      <c r="L35" s="5">
        <f t="shared" si="2"/>
        <v>600</v>
      </c>
      <c r="M35" s="4">
        <f t="shared" si="3"/>
        <v>5126.8500000000013</v>
      </c>
      <c r="N35" s="3"/>
      <c r="O35" s="4">
        <f t="shared" si="5"/>
        <v>5126.8500000000013</v>
      </c>
      <c r="P35" s="6">
        <f t="shared" si="4"/>
        <v>6049.6830000000009</v>
      </c>
    </row>
    <row r="36" spans="1:16" x14ac:dyDescent="0.25">
      <c r="A36" s="2">
        <v>2960184</v>
      </c>
      <c r="B36" s="2" t="s">
        <v>52</v>
      </c>
      <c r="C36" s="3" t="s">
        <v>17</v>
      </c>
      <c r="D36" s="3"/>
      <c r="E36" s="3">
        <v>20</v>
      </c>
      <c r="F36" s="3">
        <v>1</v>
      </c>
      <c r="G36" s="3">
        <f t="shared" si="0"/>
        <v>20</v>
      </c>
      <c r="H36" s="3">
        <v>1210</v>
      </c>
      <c r="I36" s="4">
        <v>804.77100000000007</v>
      </c>
      <c r="J36" s="4">
        <f t="shared" si="1"/>
        <v>682.00932203389846</v>
      </c>
      <c r="K36" s="5">
        <v>50</v>
      </c>
      <c r="L36" s="5">
        <f t="shared" si="2"/>
        <v>50</v>
      </c>
      <c r="M36" s="4">
        <f t="shared" si="3"/>
        <v>632.00932203389846</v>
      </c>
      <c r="N36" s="3"/>
      <c r="O36" s="4">
        <f t="shared" si="5"/>
        <v>632.00932203389846</v>
      </c>
      <c r="P36" s="6">
        <f t="shared" si="4"/>
        <v>745.77100000000019</v>
      </c>
    </row>
    <row r="37" spans="1:16" x14ac:dyDescent="0.25">
      <c r="A37" s="2">
        <v>2960220</v>
      </c>
      <c r="B37" s="2" t="s">
        <v>53</v>
      </c>
      <c r="C37" s="3" t="s">
        <v>17</v>
      </c>
      <c r="D37" s="3"/>
      <c r="E37" s="3">
        <v>16</v>
      </c>
      <c r="F37" s="3">
        <v>4</v>
      </c>
      <c r="G37" s="3">
        <f t="shared" si="0"/>
        <v>4</v>
      </c>
      <c r="H37" s="3">
        <v>4840</v>
      </c>
      <c r="I37" s="4">
        <v>3219.0840000000003</v>
      </c>
      <c r="J37" s="4">
        <f t="shared" si="1"/>
        <v>2728.0372881355938</v>
      </c>
      <c r="K37" s="5">
        <v>50</v>
      </c>
      <c r="L37" s="5">
        <f t="shared" si="2"/>
        <v>200</v>
      </c>
      <c r="M37" s="4">
        <f t="shared" si="3"/>
        <v>2528.0372881355938</v>
      </c>
      <c r="N37" s="3"/>
      <c r="O37" s="4">
        <f t="shared" si="5"/>
        <v>2528.0372881355938</v>
      </c>
      <c r="P37" s="6">
        <f t="shared" si="4"/>
        <v>2983.0840000000007</v>
      </c>
    </row>
    <row r="38" spans="1:16" x14ac:dyDescent="0.25">
      <c r="A38" s="2">
        <v>2960222</v>
      </c>
      <c r="B38" s="2" t="s">
        <v>54</v>
      </c>
      <c r="C38" s="3" t="s">
        <v>17</v>
      </c>
      <c r="D38" s="3"/>
      <c r="E38" s="3">
        <v>16</v>
      </c>
      <c r="F38" s="3">
        <v>4</v>
      </c>
      <c r="G38" s="3">
        <f t="shared" si="0"/>
        <v>4</v>
      </c>
      <c r="H38" s="3">
        <v>4840</v>
      </c>
      <c r="I38" s="4">
        <v>3219.0840000000003</v>
      </c>
      <c r="J38" s="4">
        <f t="shared" si="1"/>
        <v>2728.0372881355938</v>
      </c>
      <c r="K38" s="5">
        <v>50</v>
      </c>
      <c r="L38" s="5">
        <f t="shared" si="2"/>
        <v>200</v>
      </c>
      <c r="M38" s="4">
        <f t="shared" si="3"/>
        <v>2528.0372881355938</v>
      </c>
      <c r="N38" s="3"/>
      <c r="O38" s="4">
        <f t="shared" si="5"/>
        <v>2528.0372881355938</v>
      </c>
      <c r="P38" s="6">
        <f t="shared" si="4"/>
        <v>2983.0840000000007</v>
      </c>
    </row>
    <row r="39" spans="1:16" x14ac:dyDescent="0.25">
      <c r="A39" s="2">
        <v>2964213</v>
      </c>
      <c r="B39" s="2" t="s">
        <v>55</v>
      </c>
      <c r="C39" s="3" t="s">
        <v>17</v>
      </c>
      <c r="D39" s="3"/>
      <c r="E39" s="3">
        <v>14</v>
      </c>
      <c r="F39" s="3">
        <v>3.5</v>
      </c>
      <c r="G39" s="3">
        <f t="shared" si="0"/>
        <v>4</v>
      </c>
      <c r="H39" s="3">
        <v>1904</v>
      </c>
      <c r="I39" s="4">
        <v>1168.2944</v>
      </c>
      <c r="J39" s="4">
        <f t="shared" si="1"/>
        <v>990.08</v>
      </c>
      <c r="K39" s="5">
        <v>0</v>
      </c>
      <c r="L39" s="5">
        <f t="shared" si="2"/>
        <v>0</v>
      </c>
      <c r="M39" s="4">
        <f t="shared" si="3"/>
        <v>990.08</v>
      </c>
      <c r="N39" s="3"/>
      <c r="O39" s="4">
        <f t="shared" si="5"/>
        <v>990.08</v>
      </c>
      <c r="P39" s="6">
        <f t="shared" si="4"/>
        <v>1168.2944</v>
      </c>
    </row>
    <row r="40" spans="1:16" x14ac:dyDescent="0.25">
      <c r="A40" s="2">
        <v>2967111</v>
      </c>
      <c r="B40" s="2" t="s">
        <v>56</v>
      </c>
      <c r="C40" s="3" t="s">
        <v>17</v>
      </c>
      <c r="D40" s="3"/>
      <c r="E40" s="3">
        <v>14</v>
      </c>
      <c r="F40" s="3">
        <v>3.5</v>
      </c>
      <c r="G40" s="3">
        <f t="shared" si="0"/>
        <v>4</v>
      </c>
      <c r="H40" s="3">
        <v>2163</v>
      </c>
      <c r="I40" s="4">
        <v>1466.5139999999999</v>
      </c>
      <c r="J40" s="4">
        <f t="shared" si="1"/>
        <v>1242.8084745762712</v>
      </c>
      <c r="K40" s="5">
        <v>45</v>
      </c>
      <c r="L40" s="5">
        <f t="shared" si="2"/>
        <v>157.5</v>
      </c>
      <c r="M40" s="4">
        <f t="shared" si="3"/>
        <v>1085.3084745762712</v>
      </c>
      <c r="N40" s="3"/>
      <c r="O40" s="4">
        <f t="shared" si="5"/>
        <v>1085.3084745762712</v>
      </c>
      <c r="P40" s="6">
        <f t="shared" si="4"/>
        <v>1280.664</v>
      </c>
    </row>
    <row r="41" spans="1:16" x14ac:dyDescent="0.25">
      <c r="A41" s="2">
        <v>2967184</v>
      </c>
      <c r="B41" s="2" t="s">
        <v>57</v>
      </c>
      <c r="C41" s="3" t="s">
        <v>17</v>
      </c>
      <c r="D41" s="3"/>
      <c r="E41" s="3">
        <v>20</v>
      </c>
      <c r="F41" s="3">
        <v>1</v>
      </c>
      <c r="G41" s="3">
        <f t="shared" si="0"/>
        <v>20</v>
      </c>
      <c r="H41" s="3">
        <v>632</v>
      </c>
      <c r="I41" s="4">
        <v>428.81199999999995</v>
      </c>
      <c r="J41" s="4">
        <f t="shared" si="1"/>
        <v>363.4</v>
      </c>
      <c r="K41" s="5">
        <v>45</v>
      </c>
      <c r="L41" s="5">
        <f t="shared" si="2"/>
        <v>45</v>
      </c>
      <c r="M41" s="4">
        <f t="shared" si="3"/>
        <v>318.39999999999998</v>
      </c>
      <c r="N41" s="3"/>
      <c r="O41" s="4">
        <f t="shared" si="5"/>
        <v>318.39999999999998</v>
      </c>
      <c r="P41" s="6">
        <f t="shared" si="4"/>
        <v>375.71199999999993</v>
      </c>
    </row>
    <row r="42" spans="1:16" x14ac:dyDescent="0.25">
      <c r="A42" s="2">
        <v>2967204</v>
      </c>
      <c r="B42" s="2" t="s">
        <v>58</v>
      </c>
      <c r="C42" s="3" t="s">
        <v>17</v>
      </c>
      <c r="D42" s="3"/>
      <c r="E42" s="3">
        <v>12</v>
      </c>
      <c r="F42" s="3">
        <v>3</v>
      </c>
      <c r="G42" s="3">
        <f t="shared" si="0"/>
        <v>4</v>
      </c>
      <c r="H42" s="3">
        <v>1856</v>
      </c>
      <c r="I42" s="4">
        <v>1259.1104</v>
      </c>
      <c r="J42" s="4">
        <f t="shared" si="1"/>
        <v>1067.0427118644068</v>
      </c>
      <c r="K42" s="5">
        <v>45</v>
      </c>
      <c r="L42" s="5">
        <f t="shared" si="2"/>
        <v>135</v>
      </c>
      <c r="M42" s="4">
        <f t="shared" si="3"/>
        <v>932.04271186440678</v>
      </c>
      <c r="N42" s="3"/>
      <c r="O42" s="4">
        <f t="shared" si="5"/>
        <v>932.04271186440678</v>
      </c>
      <c r="P42" s="6">
        <f t="shared" si="4"/>
        <v>1099.8103999999998</v>
      </c>
    </row>
    <row r="43" spans="1:16" x14ac:dyDescent="0.25">
      <c r="A43" s="2">
        <v>2967220</v>
      </c>
      <c r="B43" s="2" t="s">
        <v>59</v>
      </c>
      <c r="C43" s="3" t="s">
        <v>17</v>
      </c>
      <c r="D43" s="3"/>
      <c r="E43" s="3">
        <v>16</v>
      </c>
      <c r="F43" s="3">
        <v>4</v>
      </c>
      <c r="G43" s="3">
        <f t="shared" si="0"/>
        <v>4</v>
      </c>
      <c r="H43" s="3">
        <v>2468</v>
      </c>
      <c r="I43" s="4">
        <v>1673.7975999999999</v>
      </c>
      <c r="J43" s="4">
        <f t="shared" si="1"/>
        <v>1418.4725423728814</v>
      </c>
      <c r="K43" s="5">
        <v>45</v>
      </c>
      <c r="L43" s="5">
        <f t="shared" si="2"/>
        <v>180</v>
      </c>
      <c r="M43" s="4">
        <f t="shared" si="3"/>
        <v>1238.4725423728814</v>
      </c>
      <c r="N43" s="3"/>
      <c r="O43" s="4">
        <f t="shared" si="5"/>
        <v>1238.4725423728814</v>
      </c>
      <c r="P43" s="6">
        <f t="shared" si="4"/>
        <v>1461.3976</v>
      </c>
    </row>
    <row r="44" spans="1:16" x14ac:dyDescent="0.25">
      <c r="A44" s="2">
        <v>2968213</v>
      </c>
      <c r="B44" s="2" t="s">
        <v>60</v>
      </c>
      <c r="C44" s="3" t="s">
        <v>17</v>
      </c>
      <c r="D44" s="3"/>
      <c r="E44" s="3">
        <v>14</v>
      </c>
      <c r="F44" s="3">
        <v>3.5</v>
      </c>
      <c r="G44" s="3">
        <f t="shared" si="0"/>
        <v>4</v>
      </c>
      <c r="H44" s="3">
        <v>2090</v>
      </c>
      <c r="I44" s="4">
        <v>1425.171</v>
      </c>
      <c r="J44" s="4">
        <f t="shared" si="1"/>
        <v>1207.7720338983052</v>
      </c>
      <c r="K44" s="5">
        <v>15</v>
      </c>
      <c r="L44" s="5">
        <f t="shared" si="2"/>
        <v>52.5</v>
      </c>
      <c r="M44" s="4">
        <f t="shared" si="3"/>
        <v>1155.2720338983052</v>
      </c>
      <c r="N44" s="3"/>
      <c r="O44" s="4">
        <f t="shared" si="5"/>
        <v>1155.2720338983052</v>
      </c>
      <c r="P44" s="6">
        <f t="shared" si="4"/>
        <v>1363.221</v>
      </c>
    </row>
    <row r="45" spans="1:16" x14ac:dyDescent="0.25">
      <c r="A45" s="2">
        <v>2971195</v>
      </c>
      <c r="B45" s="2" t="s">
        <v>61</v>
      </c>
      <c r="C45" s="3" t="s">
        <v>17</v>
      </c>
      <c r="D45" s="3"/>
      <c r="E45" s="3">
        <v>10</v>
      </c>
      <c r="F45" s="3">
        <v>2.5</v>
      </c>
      <c r="G45" s="3">
        <f t="shared" si="0"/>
        <v>4</v>
      </c>
      <c r="H45" s="3">
        <v>1409</v>
      </c>
      <c r="I45" s="4">
        <v>1020.8205</v>
      </c>
      <c r="J45" s="4">
        <f t="shared" si="1"/>
        <v>865.1021186440679</v>
      </c>
      <c r="K45" s="5">
        <v>70</v>
      </c>
      <c r="L45" s="5">
        <f t="shared" si="2"/>
        <v>175</v>
      </c>
      <c r="M45" s="4">
        <f t="shared" si="3"/>
        <v>690.1021186440679</v>
      </c>
      <c r="N45" s="3"/>
      <c r="O45" s="4">
        <f t="shared" si="5"/>
        <v>690.1021186440679</v>
      </c>
      <c r="P45" s="6">
        <f t="shared" si="4"/>
        <v>814.32050000000004</v>
      </c>
    </row>
    <row r="46" spans="1:16" x14ac:dyDescent="0.25">
      <c r="A46" s="2">
        <v>2971225</v>
      </c>
      <c r="B46" s="2" t="s">
        <v>62</v>
      </c>
      <c r="C46" s="3" t="s">
        <v>17</v>
      </c>
      <c r="D46" s="3"/>
      <c r="E46" s="3">
        <v>24</v>
      </c>
      <c r="F46" s="3">
        <v>1.2</v>
      </c>
      <c r="G46" s="3">
        <f t="shared" si="0"/>
        <v>20</v>
      </c>
      <c r="H46" s="3">
        <v>712</v>
      </c>
      <c r="I46" s="4">
        <v>506.01839999999999</v>
      </c>
      <c r="J46" s="4">
        <f t="shared" si="1"/>
        <v>428.82915254237287</v>
      </c>
      <c r="K46" s="5">
        <v>70</v>
      </c>
      <c r="L46" s="5">
        <f t="shared" si="2"/>
        <v>84</v>
      </c>
      <c r="M46" s="4">
        <f t="shared" si="3"/>
        <v>344.82915254237287</v>
      </c>
      <c r="N46" s="3"/>
      <c r="O46" s="4">
        <f t="shared" si="5"/>
        <v>344.82915254237287</v>
      </c>
      <c r="P46" s="6">
        <f t="shared" si="4"/>
        <v>406.89839999999998</v>
      </c>
    </row>
    <row r="47" spans="1:16" x14ac:dyDescent="0.25">
      <c r="A47" s="2">
        <v>3001265</v>
      </c>
      <c r="B47" s="2" t="s">
        <v>63</v>
      </c>
      <c r="C47" s="3" t="s">
        <v>22</v>
      </c>
      <c r="D47" s="3"/>
      <c r="E47" s="3">
        <v>20</v>
      </c>
      <c r="F47" s="3">
        <v>20</v>
      </c>
      <c r="G47" s="3">
        <f t="shared" si="0"/>
        <v>1</v>
      </c>
      <c r="H47" s="3">
        <v>7603</v>
      </c>
      <c r="I47" s="4">
        <v>6839.6588000000002</v>
      </c>
      <c r="J47" s="4">
        <f t="shared" si="1"/>
        <v>5796.3210169491531</v>
      </c>
      <c r="K47" s="5">
        <v>83</v>
      </c>
      <c r="L47" s="5">
        <f t="shared" si="2"/>
        <v>1660</v>
      </c>
      <c r="M47" s="4">
        <f t="shared" si="3"/>
        <v>4136.3210169491531</v>
      </c>
      <c r="N47" s="3"/>
      <c r="O47" s="4">
        <f t="shared" si="5"/>
        <v>4136.3210169491531</v>
      </c>
      <c r="P47" s="6">
        <f t="shared" si="4"/>
        <v>4880.8588</v>
      </c>
    </row>
    <row r="48" spans="1:16" x14ac:dyDescent="0.25">
      <c r="A48" s="2">
        <v>3002265</v>
      </c>
      <c r="B48" s="2" t="s">
        <v>64</v>
      </c>
      <c r="C48" s="3" t="s">
        <v>22</v>
      </c>
      <c r="D48" s="3"/>
      <c r="E48" s="3">
        <v>20</v>
      </c>
      <c r="F48" s="3">
        <v>20</v>
      </c>
      <c r="G48" s="3">
        <f t="shared" si="0"/>
        <v>1</v>
      </c>
      <c r="H48" s="3">
        <v>7612</v>
      </c>
      <c r="I48" s="4">
        <v>6846.9940000000006</v>
      </c>
      <c r="J48" s="4">
        <f t="shared" si="1"/>
        <v>5802.5372881355943</v>
      </c>
      <c r="K48" s="5">
        <v>85</v>
      </c>
      <c r="L48" s="5">
        <f t="shared" si="2"/>
        <v>1700</v>
      </c>
      <c r="M48" s="4">
        <f t="shared" si="3"/>
        <v>4102.5372881355943</v>
      </c>
      <c r="N48" s="3"/>
      <c r="O48" s="4">
        <f t="shared" si="5"/>
        <v>4102.5372881355943</v>
      </c>
      <c r="P48" s="6">
        <f t="shared" si="4"/>
        <v>4840.9940000000006</v>
      </c>
    </row>
    <row r="49" spans="1:16" x14ac:dyDescent="0.25">
      <c r="A49" s="2">
        <v>3006234</v>
      </c>
      <c r="B49" s="2" t="s">
        <v>65</v>
      </c>
      <c r="C49" s="3" t="s">
        <v>17</v>
      </c>
      <c r="D49" s="3"/>
      <c r="E49" s="3">
        <v>20</v>
      </c>
      <c r="F49" s="3">
        <v>5</v>
      </c>
      <c r="G49" s="3">
        <f t="shared" si="0"/>
        <v>4</v>
      </c>
      <c r="H49" s="3">
        <v>2013</v>
      </c>
      <c r="I49" s="4">
        <v>1807.4727000000003</v>
      </c>
      <c r="J49" s="4">
        <f t="shared" si="1"/>
        <v>1531.756525423729</v>
      </c>
      <c r="K49" s="5">
        <v>98</v>
      </c>
      <c r="L49" s="5">
        <f t="shared" si="2"/>
        <v>490</v>
      </c>
      <c r="M49" s="4">
        <f t="shared" si="3"/>
        <v>1041.756525423729</v>
      </c>
      <c r="N49" s="3"/>
      <c r="O49" s="4">
        <f t="shared" si="5"/>
        <v>1041.756525423729</v>
      </c>
      <c r="P49" s="6">
        <f t="shared" si="4"/>
        <v>1229.2727000000002</v>
      </c>
    </row>
    <row r="50" spans="1:16" x14ac:dyDescent="0.25">
      <c r="A50" s="2">
        <v>3006265</v>
      </c>
      <c r="B50" s="2" t="s">
        <v>66</v>
      </c>
      <c r="C50" s="3" t="s">
        <v>22</v>
      </c>
      <c r="D50" s="3"/>
      <c r="E50" s="3">
        <v>20</v>
      </c>
      <c r="F50" s="3">
        <v>20</v>
      </c>
      <c r="G50" s="3">
        <f t="shared" si="0"/>
        <v>1</v>
      </c>
      <c r="H50" s="3">
        <v>7790</v>
      </c>
      <c r="I50" s="4">
        <v>7000.8730000000005</v>
      </c>
      <c r="J50" s="4">
        <f t="shared" si="1"/>
        <v>5932.9432203389833</v>
      </c>
      <c r="K50" s="5">
        <v>98</v>
      </c>
      <c r="L50" s="5">
        <f t="shared" si="2"/>
        <v>1960</v>
      </c>
      <c r="M50" s="4">
        <f t="shared" si="3"/>
        <v>3972.9432203389833</v>
      </c>
      <c r="N50" s="3"/>
      <c r="O50" s="4">
        <f t="shared" si="5"/>
        <v>3972.9432203389833</v>
      </c>
      <c r="P50" s="6">
        <f t="shared" si="4"/>
        <v>4688.0730000000003</v>
      </c>
    </row>
    <row r="51" spans="1:16" x14ac:dyDescent="0.25">
      <c r="A51" s="2">
        <v>3059265</v>
      </c>
      <c r="B51" s="2" t="s">
        <v>67</v>
      </c>
      <c r="C51" s="3" t="s">
        <v>22</v>
      </c>
      <c r="D51" s="3"/>
      <c r="E51" s="3">
        <v>20</v>
      </c>
      <c r="F51" s="3">
        <v>20</v>
      </c>
      <c r="G51" s="3">
        <f t="shared" si="0"/>
        <v>1</v>
      </c>
      <c r="H51" s="3">
        <v>10419</v>
      </c>
      <c r="I51" s="4">
        <v>8268.518399999999</v>
      </c>
      <c r="J51" s="4">
        <f t="shared" si="1"/>
        <v>7007.2189830508469</v>
      </c>
      <c r="K51" s="5">
        <v>49</v>
      </c>
      <c r="L51" s="5">
        <f t="shared" si="2"/>
        <v>980</v>
      </c>
      <c r="M51" s="4">
        <f t="shared" si="3"/>
        <v>6027.2189830508469</v>
      </c>
      <c r="N51" s="3"/>
      <c r="O51" s="4">
        <f t="shared" si="5"/>
        <v>6027.2189830508469</v>
      </c>
      <c r="P51" s="6">
        <f t="shared" si="4"/>
        <v>7112.1183999999994</v>
      </c>
    </row>
    <row r="52" spans="1:16" x14ac:dyDescent="0.25">
      <c r="A52" s="2">
        <v>3064265</v>
      </c>
      <c r="B52" s="2" t="s">
        <v>68</v>
      </c>
      <c r="C52" s="3" t="s">
        <v>22</v>
      </c>
      <c r="D52" s="3"/>
      <c r="E52" s="3">
        <v>20</v>
      </c>
      <c r="F52" s="3">
        <v>20</v>
      </c>
      <c r="G52" s="3">
        <f t="shared" si="0"/>
        <v>1</v>
      </c>
      <c r="H52" s="3">
        <v>8474</v>
      </c>
      <c r="I52" s="4">
        <v>7603.7202000000007</v>
      </c>
      <c r="J52" s="4">
        <f t="shared" si="1"/>
        <v>6443.8306779661025</v>
      </c>
      <c r="K52" s="5">
        <v>31</v>
      </c>
      <c r="L52" s="5">
        <f t="shared" si="2"/>
        <v>620</v>
      </c>
      <c r="M52" s="4">
        <f t="shared" si="3"/>
        <v>5823.8306779661025</v>
      </c>
      <c r="N52" s="3"/>
      <c r="O52" s="4">
        <f t="shared" si="5"/>
        <v>5823.8306779661025</v>
      </c>
      <c r="P52" s="6">
        <f t="shared" si="4"/>
        <v>6872.1202000000003</v>
      </c>
    </row>
    <row r="53" spans="1:16" x14ac:dyDescent="0.25">
      <c r="A53" s="2">
        <v>3614265</v>
      </c>
      <c r="B53" s="2" t="s">
        <v>69</v>
      </c>
      <c r="C53" s="3" t="s">
        <v>22</v>
      </c>
      <c r="D53" s="3"/>
      <c r="E53" s="3">
        <v>20</v>
      </c>
      <c r="F53" s="3">
        <v>20</v>
      </c>
      <c r="G53" s="3">
        <f t="shared" si="0"/>
        <v>1</v>
      </c>
      <c r="H53" s="3">
        <v>8201</v>
      </c>
      <c r="I53" s="4">
        <v>7363.6779000000006</v>
      </c>
      <c r="J53" s="4">
        <f t="shared" si="1"/>
        <v>6240.4050000000007</v>
      </c>
      <c r="K53" s="5">
        <v>71</v>
      </c>
      <c r="L53" s="5">
        <f t="shared" si="2"/>
        <v>1420</v>
      </c>
      <c r="M53" s="4">
        <f t="shared" si="3"/>
        <v>4820.4050000000007</v>
      </c>
      <c r="N53" s="3"/>
      <c r="O53" s="4">
        <f t="shared" si="5"/>
        <v>4820.4050000000007</v>
      </c>
      <c r="P53" s="6">
        <f t="shared" si="4"/>
        <v>5688.0779000000002</v>
      </c>
    </row>
    <row r="54" spans="1:16" x14ac:dyDescent="0.25">
      <c r="A54" s="2">
        <v>3617265</v>
      </c>
      <c r="B54" s="2" t="s">
        <v>70</v>
      </c>
      <c r="C54" s="3" t="s">
        <v>22</v>
      </c>
      <c r="D54" s="3"/>
      <c r="E54" s="3">
        <v>20</v>
      </c>
      <c r="F54" s="3">
        <v>20</v>
      </c>
      <c r="G54" s="3">
        <f t="shared" si="0"/>
        <v>1</v>
      </c>
      <c r="H54" s="3">
        <v>7974</v>
      </c>
      <c r="I54" s="4">
        <v>7163.0442000000003</v>
      </c>
      <c r="J54" s="4">
        <f t="shared" si="1"/>
        <v>6070.3764406779665</v>
      </c>
      <c r="K54" s="5">
        <v>59</v>
      </c>
      <c r="L54" s="5">
        <f t="shared" si="2"/>
        <v>1180</v>
      </c>
      <c r="M54" s="4">
        <f t="shared" si="3"/>
        <v>4890.3764406779665</v>
      </c>
      <c r="N54" s="3"/>
      <c r="O54" s="4">
        <f t="shared" si="5"/>
        <v>4890.3764406779665</v>
      </c>
      <c r="P54" s="6">
        <f t="shared" si="4"/>
        <v>5770.6441999999997</v>
      </c>
    </row>
    <row r="55" spans="1:16" x14ac:dyDescent="0.25">
      <c r="A55" s="2">
        <v>3723213</v>
      </c>
      <c r="B55" s="2" t="s">
        <v>71</v>
      </c>
      <c r="C55" s="3" t="s">
        <v>17</v>
      </c>
      <c r="D55" s="3"/>
      <c r="E55" s="3">
        <v>14</v>
      </c>
      <c r="F55" s="3">
        <v>3.5</v>
      </c>
      <c r="G55" s="3">
        <f t="shared" si="0"/>
        <v>4</v>
      </c>
      <c r="H55" s="3">
        <v>1652</v>
      </c>
      <c r="I55" s="4">
        <v>1267.5796</v>
      </c>
      <c r="J55" s="4">
        <f t="shared" si="1"/>
        <v>1074.22</v>
      </c>
      <c r="K55" s="5">
        <v>70</v>
      </c>
      <c r="L55" s="5">
        <f t="shared" si="2"/>
        <v>245</v>
      </c>
      <c r="M55" s="4">
        <f t="shared" si="3"/>
        <v>829.22</v>
      </c>
      <c r="N55" s="3"/>
      <c r="O55" s="4">
        <f t="shared" si="5"/>
        <v>829.22</v>
      </c>
      <c r="P55" s="6">
        <f t="shared" si="4"/>
        <v>978.4796</v>
      </c>
    </row>
    <row r="56" spans="1:16" x14ac:dyDescent="0.25">
      <c r="A56" s="2">
        <v>3725213</v>
      </c>
      <c r="B56" s="2" t="s">
        <v>72</v>
      </c>
      <c r="C56" s="3" t="s">
        <v>17</v>
      </c>
      <c r="D56" s="3"/>
      <c r="E56" s="3">
        <v>14</v>
      </c>
      <c r="F56" s="3">
        <v>3.5</v>
      </c>
      <c r="G56" s="3">
        <f t="shared" si="0"/>
        <v>4</v>
      </c>
      <c r="H56" s="3">
        <v>1845</v>
      </c>
      <c r="I56" s="4">
        <v>1298.6955</v>
      </c>
      <c r="J56" s="4">
        <f t="shared" si="1"/>
        <v>1100.5894067796612</v>
      </c>
      <c r="K56" s="5">
        <v>50</v>
      </c>
      <c r="L56" s="5">
        <f t="shared" si="2"/>
        <v>175</v>
      </c>
      <c r="M56" s="4">
        <f t="shared" si="3"/>
        <v>925.5894067796612</v>
      </c>
      <c r="N56" s="3"/>
      <c r="O56" s="4">
        <f t="shared" si="5"/>
        <v>925.5894067796612</v>
      </c>
      <c r="P56" s="6">
        <f t="shared" si="4"/>
        <v>1092.1955000000003</v>
      </c>
    </row>
    <row r="57" spans="1:16" x14ac:dyDescent="0.25">
      <c r="A57" s="2">
        <v>4501265</v>
      </c>
      <c r="B57" s="2" t="s">
        <v>73</v>
      </c>
      <c r="C57" s="3" t="s">
        <v>22</v>
      </c>
      <c r="D57" s="3"/>
      <c r="E57" s="3">
        <v>20</v>
      </c>
      <c r="F57" s="3">
        <v>20</v>
      </c>
      <c r="G57" s="3">
        <f t="shared" si="0"/>
        <v>1</v>
      </c>
      <c r="H57" s="3">
        <v>7374</v>
      </c>
      <c r="I57" s="4">
        <v>6528.9396000000006</v>
      </c>
      <c r="J57" s="4">
        <f t="shared" si="1"/>
        <v>5532.9996610169501</v>
      </c>
      <c r="K57" s="5">
        <v>53</v>
      </c>
      <c r="L57" s="5">
        <f t="shared" si="2"/>
        <v>1060</v>
      </c>
      <c r="M57" s="4">
        <f t="shared" si="3"/>
        <v>4472.9996610169501</v>
      </c>
      <c r="N57" s="3"/>
      <c r="O57" s="4">
        <f t="shared" si="5"/>
        <v>4472.9996610169501</v>
      </c>
      <c r="P57" s="6">
        <f t="shared" si="4"/>
        <v>5278.1396000000004</v>
      </c>
    </row>
    <row r="58" spans="1:16" x14ac:dyDescent="0.25">
      <c r="A58" s="2">
        <v>4906174</v>
      </c>
      <c r="B58" s="2" t="s">
        <v>74</v>
      </c>
      <c r="C58" s="3" t="s">
        <v>17</v>
      </c>
      <c r="D58" s="3"/>
      <c r="E58" s="3">
        <v>20</v>
      </c>
      <c r="F58" s="3">
        <v>0.5</v>
      </c>
      <c r="G58" s="3">
        <f t="shared" si="0"/>
        <v>40</v>
      </c>
      <c r="H58" s="3">
        <v>276</v>
      </c>
      <c r="I58" s="4">
        <v>204.57120000000003</v>
      </c>
      <c r="J58" s="4">
        <f t="shared" si="1"/>
        <v>173.3654237288136</v>
      </c>
      <c r="K58" s="5">
        <v>15</v>
      </c>
      <c r="L58" s="5">
        <f t="shared" si="2"/>
        <v>7.5</v>
      </c>
      <c r="M58" s="4">
        <f t="shared" si="3"/>
        <v>165.8654237288136</v>
      </c>
      <c r="N58" s="3"/>
      <c r="O58" s="4">
        <f t="shared" si="5"/>
        <v>165.8654237288136</v>
      </c>
      <c r="P58" s="6">
        <f t="shared" si="4"/>
        <v>195.72120000000004</v>
      </c>
    </row>
    <row r="59" spans="1:16" x14ac:dyDescent="0.25">
      <c r="A59" s="2">
        <v>4906175</v>
      </c>
      <c r="B59" s="2" t="s">
        <v>75</v>
      </c>
      <c r="C59" s="3" t="s">
        <v>17</v>
      </c>
      <c r="D59" s="3"/>
      <c r="E59" s="3">
        <v>10</v>
      </c>
      <c r="F59" s="3">
        <v>0.5</v>
      </c>
      <c r="G59" s="3">
        <f t="shared" si="0"/>
        <v>20</v>
      </c>
      <c r="H59" s="3">
        <v>276</v>
      </c>
      <c r="I59" s="4">
        <v>204.57120000000003</v>
      </c>
      <c r="J59" s="4">
        <f t="shared" si="1"/>
        <v>173.3654237288136</v>
      </c>
      <c r="K59" s="5">
        <v>0</v>
      </c>
      <c r="L59" s="5">
        <f t="shared" si="2"/>
        <v>0</v>
      </c>
      <c r="M59" s="4">
        <f t="shared" si="3"/>
        <v>173.3654237288136</v>
      </c>
      <c r="N59" s="3"/>
      <c r="O59" s="4">
        <f t="shared" si="5"/>
        <v>173.3654237288136</v>
      </c>
      <c r="P59" s="6">
        <f t="shared" si="4"/>
        <v>204.57120000000003</v>
      </c>
    </row>
    <row r="60" spans="1:16" x14ac:dyDescent="0.25">
      <c r="A60" s="2">
        <v>4906184</v>
      </c>
      <c r="B60" s="2" t="s">
        <v>76</v>
      </c>
      <c r="C60" s="3" t="s">
        <v>17</v>
      </c>
      <c r="D60" s="3"/>
      <c r="E60" s="3">
        <v>20</v>
      </c>
      <c r="F60" s="3">
        <v>1</v>
      </c>
      <c r="G60" s="3">
        <f t="shared" si="0"/>
        <v>20</v>
      </c>
      <c r="H60" s="3">
        <v>511</v>
      </c>
      <c r="I60" s="4">
        <v>385.60059999999999</v>
      </c>
      <c r="J60" s="4">
        <f t="shared" si="1"/>
        <v>326.78016949152544</v>
      </c>
      <c r="K60" s="5">
        <v>35</v>
      </c>
      <c r="L60" s="5">
        <f t="shared" si="2"/>
        <v>35</v>
      </c>
      <c r="M60" s="4">
        <f t="shared" si="3"/>
        <v>291.78016949152544</v>
      </c>
      <c r="N60" s="3"/>
      <c r="O60" s="4">
        <f t="shared" si="5"/>
        <v>291.78016949152544</v>
      </c>
      <c r="P60" s="6">
        <f t="shared" si="4"/>
        <v>344.30060000000003</v>
      </c>
    </row>
    <row r="61" spans="1:16" x14ac:dyDescent="0.25">
      <c r="A61" s="2">
        <v>4906234</v>
      </c>
      <c r="B61" s="2" t="s">
        <v>77</v>
      </c>
      <c r="C61" s="3" t="s">
        <v>17</v>
      </c>
      <c r="D61" s="3"/>
      <c r="E61" s="3">
        <v>20</v>
      </c>
      <c r="F61" s="3">
        <v>5</v>
      </c>
      <c r="G61" s="3">
        <f t="shared" si="0"/>
        <v>4</v>
      </c>
      <c r="H61" s="3">
        <v>2459</v>
      </c>
      <c r="I61" s="4">
        <v>1906.2167999999999</v>
      </c>
      <c r="J61" s="4">
        <f t="shared" si="1"/>
        <v>1615.4379661016949</v>
      </c>
      <c r="K61" s="5">
        <v>35</v>
      </c>
      <c r="L61" s="5">
        <f t="shared" si="2"/>
        <v>175</v>
      </c>
      <c r="M61" s="4">
        <f t="shared" si="3"/>
        <v>1440.4379661016949</v>
      </c>
      <c r="N61" s="3"/>
      <c r="O61" s="4">
        <f t="shared" si="5"/>
        <v>1440.4379661016949</v>
      </c>
      <c r="P61" s="6">
        <f t="shared" si="4"/>
        <v>1699.7167999999999</v>
      </c>
    </row>
    <row r="62" spans="1:16" x14ac:dyDescent="0.25">
      <c r="A62" s="2">
        <v>4906242</v>
      </c>
      <c r="B62" s="2" t="s">
        <v>78</v>
      </c>
      <c r="C62" s="3" t="s">
        <v>22</v>
      </c>
      <c r="D62" s="3"/>
      <c r="E62" s="3">
        <v>10</v>
      </c>
      <c r="F62" s="3">
        <v>10</v>
      </c>
      <c r="G62" s="3">
        <f t="shared" si="0"/>
        <v>1</v>
      </c>
      <c r="H62" s="3">
        <v>4886</v>
      </c>
      <c r="I62" s="4">
        <v>3788.6044000000002</v>
      </c>
      <c r="J62" s="4">
        <f t="shared" si="1"/>
        <v>3210.6816949152544</v>
      </c>
      <c r="K62" s="5">
        <v>35</v>
      </c>
      <c r="L62" s="5">
        <f t="shared" si="2"/>
        <v>350</v>
      </c>
      <c r="M62" s="4">
        <f t="shared" si="3"/>
        <v>2860.6816949152544</v>
      </c>
      <c r="N62" s="3"/>
      <c r="O62" s="4">
        <f t="shared" si="5"/>
        <v>2860.6816949152544</v>
      </c>
      <c r="P62" s="6">
        <f t="shared" si="4"/>
        <v>3375.6044000000002</v>
      </c>
    </row>
    <row r="63" spans="1:16" x14ac:dyDescent="0.25">
      <c r="A63" s="2">
        <v>4950184</v>
      </c>
      <c r="B63" s="2" t="s">
        <v>79</v>
      </c>
      <c r="C63" s="3" t="s">
        <v>17</v>
      </c>
      <c r="D63" s="3"/>
      <c r="E63" s="3">
        <v>20</v>
      </c>
      <c r="F63" s="3">
        <v>1</v>
      </c>
      <c r="G63" s="3">
        <f t="shared" si="0"/>
        <v>20</v>
      </c>
      <c r="H63" s="3">
        <v>458</v>
      </c>
      <c r="I63" s="4">
        <v>352.88900000000001</v>
      </c>
      <c r="J63" s="4">
        <f t="shared" si="1"/>
        <v>299.05847457627124</v>
      </c>
      <c r="K63" s="5">
        <v>65</v>
      </c>
      <c r="L63" s="5">
        <f t="shared" si="2"/>
        <v>65</v>
      </c>
      <c r="M63" s="4">
        <f t="shared" si="3"/>
        <v>234.05847457627124</v>
      </c>
      <c r="N63" s="3"/>
      <c r="O63" s="4">
        <f t="shared" si="5"/>
        <v>234.05847457627124</v>
      </c>
      <c r="P63" s="6">
        <f t="shared" si="4"/>
        <v>276.18900000000002</v>
      </c>
    </row>
    <row r="64" spans="1:16" x14ac:dyDescent="0.25">
      <c r="A64" s="2">
        <v>4950240</v>
      </c>
      <c r="B64" s="2" t="s">
        <v>80</v>
      </c>
      <c r="C64" s="3" t="s">
        <v>17</v>
      </c>
      <c r="D64" s="3"/>
      <c r="E64" s="3">
        <v>20</v>
      </c>
      <c r="F64" s="3">
        <v>5</v>
      </c>
      <c r="G64" s="3">
        <f t="shared" si="0"/>
        <v>4</v>
      </c>
      <c r="H64" s="3">
        <v>2286</v>
      </c>
      <c r="I64" s="4">
        <v>1758.6198000000002</v>
      </c>
      <c r="J64" s="4">
        <f t="shared" si="1"/>
        <v>1490.3557627118646</v>
      </c>
      <c r="K64" s="5">
        <v>65</v>
      </c>
      <c r="L64" s="5">
        <f t="shared" si="2"/>
        <v>325</v>
      </c>
      <c r="M64" s="4">
        <f t="shared" si="3"/>
        <v>1165.3557627118646</v>
      </c>
      <c r="N64" s="3"/>
      <c r="O64" s="4">
        <f t="shared" si="5"/>
        <v>1165.3557627118646</v>
      </c>
      <c r="P64" s="6">
        <f t="shared" si="4"/>
        <v>1375.1198000000002</v>
      </c>
    </row>
    <row r="65" spans="1:16" x14ac:dyDescent="0.25">
      <c r="A65" s="2">
        <v>4950269</v>
      </c>
      <c r="B65" s="2" t="s">
        <v>81</v>
      </c>
      <c r="C65" s="3" t="s">
        <v>22</v>
      </c>
      <c r="D65" s="3"/>
      <c r="E65" s="3">
        <v>20</v>
      </c>
      <c r="F65" s="3">
        <v>20</v>
      </c>
      <c r="G65" s="3">
        <f t="shared" si="0"/>
        <v>1</v>
      </c>
      <c r="H65" s="3">
        <v>8785</v>
      </c>
      <c r="I65" s="4">
        <v>6887.4400000000005</v>
      </c>
      <c r="J65" s="4">
        <f t="shared" si="1"/>
        <v>5836.813559322035</v>
      </c>
      <c r="K65" s="5">
        <v>65</v>
      </c>
      <c r="L65" s="5">
        <f t="shared" si="2"/>
        <v>1300</v>
      </c>
      <c r="M65" s="4">
        <f t="shared" si="3"/>
        <v>4536.813559322035</v>
      </c>
      <c r="N65" s="3"/>
      <c r="O65" s="4">
        <f t="shared" si="5"/>
        <v>4536.813559322035</v>
      </c>
      <c r="P65" s="6">
        <f t="shared" si="4"/>
        <v>5353.4400000000014</v>
      </c>
    </row>
    <row r="66" spans="1:16" x14ac:dyDescent="0.25">
      <c r="A66" s="2">
        <v>5034184</v>
      </c>
      <c r="B66" s="2" t="s">
        <v>82</v>
      </c>
      <c r="C66" s="3" t="s">
        <v>17</v>
      </c>
      <c r="D66" s="3"/>
      <c r="E66" s="3">
        <v>20</v>
      </c>
      <c r="F66" s="3">
        <v>1</v>
      </c>
      <c r="G66" s="3">
        <f t="shared" ref="G66:G129" si="6">E66/F66</f>
        <v>20</v>
      </c>
      <c r="H66" s="3">
        <v>508</v>
      </c>
      <c r="I66" s="4">
        <v>353.41559999999998</v>
      </c>
      <c r="J66" s="4">
        <f t="shared" ref="J66:J129" si="7">I66/1.18</f>
        <v>299.50474576271188</v>
      </c>
      <c r="K66" s="5">
        <v>50</v>
      </c>
      <c r="L66" s="5">
        <f t="shared" ref="L66:L129" si="8">(K66)*F66</f>
        <v>50</v>
      </c>
      <c r="M66" s="4">
        <f t="shared" ref="M66:M129" si="9">J66-L66</f>
        <v>249.50474576271188</v>
      </c>
      <c r="N66" s="3"/>
      <c r="O66" s="4">
        <f t="shared" si="5"/>
        <v>249.50474576271188</v>
      </c>
      <c r="P66" s="6">
        <f t="shared" ref="P66:P129" si="10">O66*1.18</f>
        <v>294.41559999999998</v>
      </c>
    </row>
    <row r="67" spans="1:16" x14ac:dyDescent="0.25">
      <c r="A67" s="2">
        <v>5034203</v>
      </c>
      <c r="B67" s="2" t="s">
        <v>83</v>
      </c>
      <c r="C67" s="3" t="s">
        <v>17</v>
      </c>
      <c r="D67" s="3"/>
      <c r="E67" s="3">
        <v>12</v>
      </c>
      <c r="F67" s="3">
        <v>3</v>
      </c>
      <c r="G67" s="3">
        <f t="shared" si="6"/>
        <v>4</v>
      </c>
      <c r="H67" s="3">
        <v>1505</v>
      </c>
      <c r="I67" s="4">
        <v>1062.6804999999999</v>
      </c>
      <c r="J67" s="4">
        <f t="shared" si="7"/>
        <v>900.57669491525428</v>
      </c>
      <c r="K67" s="5">
        <v>50</v>
      </c>
      <c r="L67" s="5">
        <f t="shared" si="8"/>
        <v>150</v>
      </c>
      <c r="M67" s="4">
        <f t="shared" si="9"/>
        <v>750.57669491525428</v>
      </c>
      <c r="N67" s="3"/>
      <c r="O67" s="4">
        <f t="shared" ref="O67:O130" si="11">M67-N67</f>
        <v>750.57669491525428</v>
      </c>
      <c r="P67" s="6">
        <f t="shared" si="10"/>
        <v>885.68050000000005</v>
      </c>
    </row>
    <row r="68" spans="1:16" x14ac:dyDescent="0.25">
      <c r="A68" s="2">
        <v>7205222</v>
      </c>
      <c r="B68" s="2" t="s">
        <v>84</v>
      </c>
      <c r="C68" s="3" t="s">
        <v>17</v>
      </c>
      <c r="D68" s="3"/>
      <c r="E68" s="3">
        <v>16</v>
      </c>
      <c r="F68" s="3">
        <v>4</v>
      </c>
      <c r="G68" s="3">
        <f t="shared" si="6"/>
        <v>4</v>
      </c>
      <c r="H68" s="3">
        <v>2632</v>
      </c>
      <c r="I68" s="4">
        <v>1947.4168</v>
      </c>
      <c r="J68" s="4">
        <f t="shared" si="7"/>
        <v>1650.3532203389832</v>
      </c>
      <c r="K68" s="5">
        <v>15</v>
      </c>
      <c r="L68" s="5">
        <f t="shared" si="8"/>
        <v>60</v>
      </c>
      <c r="M68" s="4">
        <f t="shared" si="9"/>
        <v>1590.3532203389832</v>
      </c>
      <c r="N68" s="3"/>
      <c r="O68" s="4">
        <f t="shared" si="11"/>
        <v>1590.3532203389832</v>
      </c>
      <c r="P68" s="6">
        <f t="shared" si="10"/>
        <v>1876.6168</v>
      </c>
    </row>
    <row r="69" spans="1:16" x14ac:dyDescent="0.25">
      <c r="A69" s="2">
        <v>7209213</v>
      </c>
      <c r="B69" s="2" t="s">
        <v>85</v>
      </c>
      <c r="C69" s="3" t="s">
        <v>17</v>
      </c>
      <c r="D69" s="3"/>
      <c r="E69" s="3">
        <v>14</v>
      </c>
      <c r="F69" s="3">
        <v>3.5</v>
      </c>
      <c r="G69" s="3">
        <f t="shared" si="6"/>
        <v>4</v>
      </c>
      <c r="H69" s="3">
        <v>4603</v>
      </c>
      <c r="I69" s="4">
        <v>3569.6264999999999</v>
      </c>
      <c r="J69" s="4">
        <f t="shared" si="7"/>
        <v>3025.1072033898304</v>
      </c>
      <c r="K69" s="5">
        <v>15</v>
      </c>
      <c r="L69" s="5">
        <f t="shared" si="8"/>
        <v>52.5</v>
      </c>
      <c r="M69" s="4">
        <f t="shared" si="9"/>
        <v>2972.6072033898304</v>
      </c>
      <c r="N69" s="3"/>
      <c r="O69" s="4">
        <f t="shared" si="11"/>
        <v>2972.6072033898304</v>
      </c>
      <c r="P69" s="6">
        <f t="shared" si="10"/>
        <v>3507.6764999999996</v>
      </c>
    </row>
    <row r="70" spans="1:16" x14ac:dyDescent="0.25">
      <c r="A70" s="2">
        <v>7211213</v>
      </c>
      <c r="B70" s="2" t="s">
        <v>86</v>
      </c>
      <c r="C70" s="3" t="s">
        <v>17</v>
      </c>
      <c r="D70" s="3"/>
      <c r="E70" s="3">
        <v>14</v>
      </c>
      <c r="F70" s="3">
        <v>3.5</v>
      </c>
      <c r="G70" s="3">
        <f t="shared" si="6"/>
        <v>4</v>
      </c>
      <c r="H70" s="3">
        <v>1786</v>
      </c>
      <c r="I70" s="4">
        <v>1445.7670000000001</v>
      </c>
      <c r="J70" s="4">
        <f t="shared" si="7"/>
        <v>1225.2262711864407</v>
      </c>
      <c r="K70" s="5">
        <v>75</v>
      </c>
      <c r="L70" s="5">
        <f t="shared" si="8"/>
        <v>262.5</v>
      </c>
      <c r="M70" s="4">
        <f t="shared" si="9"/>
        <v>962.72627118644073</v>
      </c>
      <c r="N70" s="3"/>
      <c r="O70" s="4">
        <f t="shared" si="11"/>
        <v>962.72627118644073</v>
      </c>
      <c r="P70" s="6">
        <f t="shared" si="10"/>
        <v>1136.0170000000001</v>
      </c>
    </row>
    <row r="71" spans="1:16" x14ac:dyDescent="0.25">
      <c r="A71" s="2">
        <v>7227184</v>
      </c>
      <c r="B71" s="2" t="s">
        <v>87</v>
      </c>
      <c r="C71" s="3" t="s">
        <v>17</v>
      </c>
      <c r="D71" s="3"/>
      <c r="E71" s="3">
        <v>20</v>
      </c>
      <c r="F71" s="3">
        <v>1</v>
      </c>
      <c r="G71" s="3">
        <f t="shared" si="6"/>
        <v>20</v>
      </c>
      <c r="H71" s="3">
        <v>505</v>
      </c>
      <c r="I71" s="4">
        <v>371.17500000000001</v>
      </c>
      <c r="J71" s="4">
        <f t="shared" si="7"/>
        <v>314.55508474576271</v>
      </c>
      <c r="K71" s="5">
        <v>85</v>
      </c>
      <c r="L71" s="5">
        <f t="shared" si="8"/>
        <v>85</v>
      </c>
      <c r="M71" s="4">
        <f t="shared" si="9"/>
        <v>229.55508474576271</v>
      </c>
      <c r="N71" s="3"/>
      <c r="O71" s="4">
        <f t="shared" si="11"/>
        <v>229.55508474576271</v>
      </c>
      <c r="P71" s="6">
        <f t="shared" si="10"/>
        <v>270.875</v>
      </c>
    </row>
    <row r="72" spans="1:16" x14ac:dyDescent="0.25">
      <c r="A72" s="2">
        <v>7227251</v>
      </c>
      <c r="B72" s="2" t="s">
        <v>88</v>
      </c>
      <c r="C72" s="3" t="s">
        <v>22</v>
      </c>
      <c r="D72" s="3"/>
      <c r="E72" s="3">
        <v>7.5</v>
      </c>
      <c r="F72" s="3">
        <v>7.5</v>
      </c>
      <c r="G72" s="3">
        <f t="shared" si="6"/>
        <v>1</v>
      </c>
      <c r="H72" s="3">
        <v>3788</v>
      </c>
      <c r="I72" s="4">
        <v>2786.0739999999996</v>
      </c>
      <c r="J72" s="4">
        <f t="shared" si="7"/>
        <v>2361.0796610169491</v>
      </c>
      <c r="K72" s="5">
        <v>85</v>
      </c>
      <c r="L72" s="5">
        <f t="shared" si="8"/>
        <v>637.5</v>
      </c>
      <c r="M72" s="4">
        <f t="shared" si="9"/>
        <v>1723.5796610169491</v>
      </c>
      <c r="N72" s="3"/>
      <c r="O72" s="4">
        <f t="shared" si="11"/>
        <v>1723.5796610169491</v>
      </c>
      <c r="P72" s="6">
        <f t="shared" si="10"/>
        <v>2033.8239999999998</v>
      </c>
    </row>
    <row r="73" spans="1:16" x14ac:dyDescent="0.25">
      <c r="A73" s="2">
        <v>7227252</v>
      </c>
      <c r="B73" s="2" t="s">
        <v>89</v>
      </c>
      <c r="C73" s="3" t="s">
        <v>22</v>
      </c>
      <c r="D73" s="3"/>
      <c r="E73" s="3">
        <v>8.5</v>
      </c>
      <c r="F73" s="3">
        <v>8.5</v>
      </c>
      <c r="G73" s="3">
        <f t="shared" si="6"/>
        <v>1</v>
      </c>
      <c r="H73" s="3">
        <v>4273</v>
      </c>
      <c r="I73" s="4">
        <v>3144.9279999999999</v>
      </c>
      <c r="J73" s="4">
        <f t="shared" si="7"/>
        <v>2665.1932203389829</v>
      </c>
      <c r="K73" s="5">
        <v>85</v>
      </c>
      <c r="L73" s="5">
        <f t="shared" si="8"/>
        <v>722.5</v>
      </c>
      <c r="M73" s="4">
        <f t="shared" si="9"/>
        <v>1942.6932203389829</v>
      </c>
      <c r="N73" s="3"/>
      <c r="O73" s="4">
        <f t="shared" si="11"/>
        <v>1942.6932203389829</v>
      </c>
      <c r="P73" s="6">
        <f t="shared" si="10"/>
        <v>2292.3779999999997</v>
      </c>
    </row>
    <row r="74" spans="1:16" x14ac:dyDescent="0.25">
      <c r="A74" s="2">
        <v>7231256</v>
      </c>
      <c r="B74" s="2" t="s">
        <v>90</v>
      </c>
      <c r="C74" s="3" t="s">
        <v>22</v>
      </c>
      <c r="D74" s="3"/>
      <c r="E74" s="3">
        <v>15</v>
      </c>
      <c r="F74" s="3">
        <v>15</v>
      </c>
      <c r="G74" s="3">
        <f t="shared" si="6"/>
        <v>1</v>
      </c>
      <c r="H74" s="3">
        <v>6839</v>
      </c>
      <c r="I74" s="4">
        <v>5388.4481000000005</v>
      </c>
      <c r="J74" s="4">
        <f t="shared" si="7"/>
        <v>4566.4814406779669</v>
      </c>
      <c r="K74" s="5">
        <v>75</v>
      </c>
      <c r="L74" s="5">
        <f t="shared" si="8"/>
        <v>1125</v>
      </c>
      <c r="M74" s="4">
        <f t="shared" si="9"/>
        <v>3441.4814406779669</v>
      </c>
      <c r="N74" s="3"/>
      <c r="O74" s="4">
        <f t="shared" si="11"/>
        <v>3441.4814406779669</v>
      </c>
      <c r="P74" s="6">
        <f t="shared" si="10"/>
        <v>4060.948100000001</v>
      </c>
    </row>
    <row r="75" spans="1:16" x14ac:dyDescent="0.25">
      <c r="A75" s="2">
        <v>7232184</v>
      </c>
      <c r="B75" s="2" t="s">
        <v>91</v>
      </c>
      <c r="C75" s="3" t="s">
        <v>17</v>
      </c>
      <c r="D75" s="3"/>
      <c r="E75" s="3">
        <v>20</v>
      </c>
      <c r="F75" s="3">
        <v>1</v>
      </c>
      <c r="G75" s="3">
        <f t="shared" si="6"/>
        <v>20</v>
      </c>
      <c r="H75" s="3">
        <v>351</v>
      </c>
      <c r="I75" s="4">
        <v>297.68310000000002</v>
      </c>
      <c r="J75" s="4">
        <f t="shared" si="7"/>
        <v>252.27381355932206</v>
      </c>
      <c r="K75" s="5">
        <v>15</v>
      </c>
      <c r="L75" s="5">
        <f t="shared" si="8"/>
        <v>15</v>
      </c>
      <c r="M75" s="4">
        <f t="shared" si="9"/>
        <v>237.27381355932206</v>
      </c>
      <c r="N75" s="3"/>
      <c r="O75" s="4">
        <f t="shared" si="11"/>
        <v>237.27381355932206</v>
      </c>
      <c r="P75" s="6">
        <f t="shared" si="10"/>
        <v>279.98310000000004</v>
      </c>
    </row>
    <row r="76" spans="1:16" x14ac:dyDescent="0.25">
      <c r="A76" s="2">
        <v>7264222</v>
      </c>
      <c r="B76" s="2" t="s">
        <v>92</v>
      </c>
      <c r="C76" s="3" t="s">
        <v>17</v>
      </c>
      <c r="D76" s="3"/>
      <c r="E76" s="3">
        <v>16</v>
      </c>
      <c r="F76" s="3">
        <v>4</v>
      </c>
      <c r="G76" s="3">
        <f t="shared" si="6"/>
        <v>4</v>
      </c>
      <c r="H76" s="3">
        <v>2036</v>
      </c>
      <c r="I76" s="4">
        <v>1675.6279999999999</v>
      </c>
      <c r="J76" s="4">
        <f t="shared" si="7"/>
        <v>1420.0237288135593</v>
      </c>
      <c r="K76" s="5">
        <v>8</v>
      </c>
      <c r="L76" s="5">
        <f t="shared" si="8"/>
        <v>32</v>
      </c>
      <c r="M76" s="4">
        <f t="shared" si="9"/>
        <v>1388.0237288135593</v>
      </c>
      <c r="N76" s="3"/>
      <c r="O76" s="4">
        <f t="shared" si="11"/>
        <v>1388.0237288135593</v>
      </c>
      <c r="P76" s="6">
        <f t="shared" si="10"/>
        <v>1637.8679999999999</v>
      </c>
    </row>
    <row r="77" spans="1:16" x14ac:dyDescent="0.25">
      <c r="A77" s="2">
        <v>7267234</v>
      </c>
      <c r="B77" s="2" t="s">
        <v>93</v>
      </c>
      <c r="C77" s="3" t="s">
        <v>17</v>
      </c>
      <c r="D77" s="3"/>
      <c r="E77" s="3">
        <v>20</v>
      </c>
      <c r="F77" s="3">
        <v>5</v>
      </c>
      <c r="G77" s="3">
        <f t="shared" si="6"/>
        <v>4</v>
      </c>
      <c r="H77" s="3">
        <v>5370</v>
      </c>
      <c r="I77" s="4">
        <v>4413.0660000000007</v>
      </c>
      <c r="J77" s="4">
        <f t="shared" si="7"/>
        <v>3739.8864406779671</v>
      </c>
      <c r="K77" s="5">
        <v>21</v>
      </c>
      <c r="L77" s="5">
        <f t="shared" si="8"/>
        <v>105</v>
      </c>
      <c r="M77" s="4">
        <f t="shared" si="9"/>
        <v>3634.8864406779671</v>
      </c>
      <c r="N77" s="3"/>
      <c r="O77" s="4">
        <f t="shared" si="11"/>
        <v>3634.8864406779671</v>
      </c>
      <c r="P77" s="6">
        <f t="shared" si="10"/>
        <v>4289.1660000000011</v>
      </c>
    </row>
    <row r="78" spans="1:16" x14ac:dyDescent="0.25">
      <c r="A78" s="2">
        <v>7271111</v>
      </c>
      <c r="B78" s="2" t="s">
        <v>94</v>
      </c>
      <c r="C78" s="3" t="s">
        <v>17</v>
      </c>
      <c r="D78" s="3"/>
      <c r="E78" s="3">
        <v>14</v>
      </c>
      <c r="F78" s="3">
        <v>3.5</v>
      </c>
      <c r="G78" s="3">
        <f t="shared" si="6"/>
        <v>4</v>
      </c>
      <c r="H78" s="3">
        <v>2380</v>
      </c>
      <c r="I78" s="4">
        <v>1642.2</v>
      </c>
      <c r="J78" s="4">
        <f t="shared" si="7"/>
        <v>1391.6949152542375</v>
      </c>
      <c r="K78" s="5">
        <v>0</v>
      </c>
      <c r="L78" s="5">
        <f t="shared" si="8"/>
        <v>0</v>
      </c>
      <c r="M78" s="4">
        <f t="shared" si="9"/>
        <v>1391.6949152542375</v>
      </c>
      <c r="N78" s="3"/>
      <c r="O78" s="4">
        <f t="shared" si="11"/>
        <v>1391.6949152542375</v>
      </c>
      <c r="P78" s="6">
        <f t="shared" si="10"/>
        <v>1642.2</v>
      </c>
    </row>
    <row r="79" spans="1:16" x14ac:dyDescent="0.25">
      <c r="A79" s="2">
        <v>7271229</v>
      </c>
      <c r="B79" s="2" t="s">
        <v>95</v>
      </c>
      <c r="C79" s="3" t="s">
        <v>17</v>
      </c>
      <c r="D79" s="3"/>
      <c r="E79" s="3">
        <v>20</v>
      </c>
      <c r="F79" s="3">
        <v>1</v>
      </c>
      <c r="G79" s="3">
        <f t="shared" si="6"/>
        <v>20</v>
      </c>
      <c r="H79" s="3">
        <v>680</v>
      </c>
      <c r="I79" s="4">
        <v>469.2</v>
      </c>
      <c r="J79" s="4">
        <f t="shared" si="7"/>
        <v>397.62711864406782</v>
      </c>
      <c r="K79" s="5">
        <v>0</v>
      </c>
      <c r="L79" s="5">
        <f t="shared" si="8"/>
        <v>0</v>
      </c>
      <c r="M79" s="4">
        <f t="shared" si="9"/>
        <v>397.62711864406782</v>
      </c>
      <c r="N79" s="3"/>
      <c r="O79" s="4">
        <f t="shared" si="11"/>
        <v>397.62711864406782</v>
      </c>
      <c r="P79" s="6">
        <f t="shared" si="10"/>
        <v>469.2</v>
      </c>
    </row>
    <row r="80" spans="1:16" x14ac:dyDescent="0.25">
      <c r="A80" s="2">
        <v>7272111</v>
      </c>
      <c r="B80" s="2" t="s">
        <v>96</v>
      </c>
      <c r="C80" s="3" t="s">
        <v>17</v>
      </c>
      <c r="D80" s="3"/>
      <c r="E80" s="3">
        <v>14</v>
      </c>
      <c r="F80" s="3">
        <v>3.5</v>
      </c>
      <c r="G80" s="3">
        <f t="shared" si="6"/>
        <v>4</v>
      </c>
      <c r="H80" s="3">
        <v>2538</v>
      </c>
      <c r="I80" s="4">
        <v>1930.1489999999999</v>
      </c>
      <c r="J80" s="4">
        <f t="shared" si="7"/>
        <v>1635.7194915254238</v>
      </c>
      <c r="K80" s="5">
        <v>0</v>
      </c>
      <c r="L80" s="5">
        <f t="shared" si="8"/>
        <v>0</v>
      </c>
      <c r="M80" s="4">
        <f t="shared" si="9"/>
        <v>1635.7194915254238</v>
      </c>
      <c r="N80" s="3"/>
      <c r="O80" s="4">
        <f t="shared" si="11"/>
        <v>1635.7194915254238</v>
      </c>
      <c r="P80" s="6">
        <f t="shared" si="10"/>
        <v>1930.1489999999999</v>
      </c>
    </row>
    <row r="81" spans="1:16" x14ac:dyDescent="0.25">
      <c r="A81" s="2">
        <v>7275111</v>
      </c>
      <c r="B81" s="2" t="s">
        <v>97</v>
      </c>
      <c r="C81" s="3" t="s">
        <v>17</v>
      </c>
      <c r="D81" s="3"/>
      <c r="E81" s="3">
        <v>14</v>
      </c>
      <c r="F81" s="3">
        <v>3.5</v>
      </c>
      <c r="G81" s="3">
        <f t="shared" si="6"/>
        <v>4</v>
      </c>
      <c r="H81" s="3">
        <v>4707</v>
      </c>
      <c r="I81" s="4">
        <v>3096.2646000000004</v>
      </c>
      <c r="J81" s="4">
        <f t="shared" si="7"/>
        <v>2623.9530508474581</v>
      </c>
      <c r="K81" s="5">
        <v>0</v>
      </c>
      <c r="L81" s="5">
        <f t="shared" si="8"/>
        <v>0</v>
      </c>
      <c r="M81" s="4">
        <f t="shared" si="9"/>
        <v>2623.9530508474581</v>
      </c>
      <c r="N81" s="3"/>
      <c r="O81" s="4">
        <f t="shared" si="11"/>
        <v>2623.9530508474581</v>
      </c>
      <c r="P81" s="6">
        <f t="shared" si="10"/>
        <v>3096.2646000000004</v>
      </c>
    </row>
    <row r="82" spans="1:16" x14ac:dyDescent="0.25">
      <c r="A82" s="2">
        <v>7489184</v>
      </c>
      <c r="B82" s="2" t="s">
        <v>98</v>
      </c>
      <c r="C82" s="3" t="s">
        <v>17</v>
      </c>
      <c r="D82" s="3"/>
      <c r="E82" s="3">
        <v>20</v>
      </c>
      <c r="F82" s="3">
        <v>1</v>
      </c>
      <c r="G82" s="3">
        <f t="shared" si="6"/>
        <v>20</v>
      </c>
      <c r="H82" s="3">
        <v>513</v>
      </c>
      <c r="I82" s="4">
        <v>394.85610000000003</v>
      </c>
      <c r="J82" s="4">
        <f t="shared" si="7"/>
        <v>334.62381355932206</v>
      </c>
      <c r="K82" s="5">
        <v>75</v>
      </c>
      <c r="L82" s="5">
        <f t="shared" si="8"/>
        <v>75</v>
      </c>
      <c r="M82" s="4">
        <f t="shared" si="9"/>
        <v>259.62381355932206</v>
      </c>
      <c r="N82" s="3"/>
      <c r="O82" s="4">
        <f t="shared" si="11"/>
        <v>259.62381355932206</v>
      </c>
      <c r="P82" s="6">
        <f t="shared" si="10"/>
        <v>306.35610000000003</v>
      </c>
    </row>
    <row r="83" spans="1:16" x14ac:dyDescent="0.25">
      <c r="A83" s="2">
        <v>7489203</v>
      </c>
      <c r="B83" s="2" t="s">
        <v>99</v>
      </c>
      <c r="C83" s="3" t="s">
        <v>17</v>
      </c>
      <c r="D83" s="3"/>
      <c r="E83" s="3">
        <v>12</v>
      </c>
      <c r="F83" s="3">
        <v>3</v>
      </c>
      <c r="G83" s="3">
        <f t="shared" si="6"/>
        <v>4</v>
      </c>
      <c r="H83" s="3">
        <v>1541</v>
      </c>
      <c r="I83" s="4">
        <v>1187.9569000000001</v>
      </c>
      <c r="J83" s="4">
        <f t="shared" si="7"/>
        <v>1006.7431355932205</v>
      </c>
      <c r="K83" s="5">
        <v>75</v>
      </c>
      <c r="L83" s="5">
        <f t="shared" si="8"/>
        <v>225</v>
      </c>
      <c r="M83" s="4">
        <f t="shared" si="9"/>
        <v>781.74313559322047</v>
      </c>
      <c r="N83" s="3"/>
      <c r="O83" s="4">
        <f t="shared" si="11"/>
        <v>781.74313559322047</v>
      </c>
      <c r="P83" s="6">
        <f t="shared" si="10"/>
        <v>922.45690000000013</v>
      </c>
    </row>
    <row r="84" spans="1:16" x14ac:dyDescent="0.25">
      <c r="A84" s="2">
        <v>7489204</v>
      </c>
      <c r="B84" s="2" t="s">
        <v>100</v>
      </c>
      <c r="C84" s="3" t="s">
        <v>17</v>
      </c>
      <c r="D84" s="3"/>
      <c r="E84" s="3">
        <v>12</v>
      </c>
      <c r="F84" s="3">
        <v>3</v>
      </c>
      <c r="G84" s="3">
        <f t="shared" si="6"/>
        <v>4</v>
      </c>
      <c r="H84" s="3">
        <v>1541</v>
      </c>
      <c r="I84" s="4">
        <v>1187.9569000000001</v>
      </c>
      <c r="J84" s="4">
        <f t="shared" si="7"/>
        <v>1006.7431355932205</v>
      </c>
      <c r="K84" s="5">
        <v>75</v>
      </c>
      <c r="L84" s="5">
        <f t="shared" si="8"/>
        <v>225</v>
      </c>
      <c r="M84" s="4">
        <f t="shared" si="9"/>
        <v>781.74313559322047</v>
      </c>
      <c r="N84" s="3"/>
      <c r="O84" s="4">
        <f t="shared" si="11"/>
        <v>781.74313559322047</v>
      </c>
      <c r="P84" s="6">
        <f t="shared" si="10"/>
        <v>922.45690000000013</v>
      </c>
    </row>
    <row r="85" spans="1:16" x14ac:dyDescent="0.25">
      <c r="A85" s="2">
        <v>7489234</v>
      </c>
      <c r="B85" s="2" t="s">
        <v>101</v>
      </c>
      <c r="C85" s="3" t="s">
        <v>17</v>
      </c>
      <c r="D85" s="3"/>
      <c r="E85" s="3">
        <v>20</v>
      </c>
      <c r="F85" s="3">
        <v>5</v>
      </c>
      <c r="G85" s="3">
        <f t="shared" si="6"/>
        <v>4</v>
      </c>
      <c r="H85" s="3">
        <v>2526</v>
      </c>
      <c r="I85" s="4">
        <v>1969.7748000000001</v>
      </c>
      <c r="J85" s="4">
        <f t="shared" si="7"/>
        <v>1669.3006779661018</v>
      </c>
      <c r="K85" s="5">
        <v>75</v>
      </c>
      <c r="L85" s="5">
        <f t="shared" si="8"/>
        <v>375</v>
      </c>
      <c r="M85" s="4">
        <f t="shared" si="9"/>
        <v>1294.3006779661018</v>
      </c>
      <c r="N85" s="3"/>
      <c r="O85" s="4">
        <f t="shared" si="11"/>
        <v>1294.3006779661018</v>
      </c>
      <c r="P85" s="6">
        <f t="shared" si="10"/>
        <v>1527.2748000000001</v>
      </c>
    </row>
    <row r="86" spans="1:16" x14ac:dyDescent="0.25">
      <c r="A86" s="2">
        <v>7489240</v>
      </c>
      <c r="B86" s="2" t="s">
        <v>102</v>
      </c>
      <c r="C86" s="3" t="s">
        <v>17</v>
      </c>
      <c r="D86" s="3"/>
      <c r="E86" s="3">
        <v>20</v>
      </c>
      <c r="F86" s="3">
        <v>5</v>
      </c>
      <c r="G86" s="3">
        <f t="shared" si="6"/>
        <v>4</v>
      </c>
      <c r="H86" s="3">
        <v>2526</v>
      </c>
      <c r="I86" s="4">
        <v>1969.7748000000001</v>
      </c>
      <c r="J86" s="4">
        <f t="shared" si="7"/>
        <v>1669.3006779661018</v>
      </c>
      <c r="K86" s="5">
        <v>75</v>
      </c>
      <c r="L86" s="5">
        <f t="shared" si="8"/>
        <v>375</v>
      </c>
      <c r="M86" s="4">
        <f t="shared" si="9"/>
        <v>1294.3006779661018</v>
      </c>
      <c r="N86" s="3"/>
      <c r="O86" s="4">
        <f t="shared" si="11"/>
        <v>1294.3006779661018</v>
      </c>
      <c r="P86" s="6">
        <f t="shared" si="10"/>
        <v>1527.2748000000001</v>
      </c>
    </row>
    <row r="87" spans="1:16" x14ac:dyDescent="0.25">
      <c r="A87" s="2">
        <v>7489241</v>
      </c>
      <c r="B87" s="2" t="s">
        <v>103</v>
      </c>
      <c r="C87" s="3" t="s">
        <v>22</v>
      </c>
      <c r="D87" s="3"/>
      <c r="E87" s="3">
        <v>10</v>
      </c>
      <c r="F87" s="3">
        <v>10</v>
      </c>
      <c r="G87" s="3">
        <f t="shared" si="6"/>
        <v>1</v>
      </c>
      <c r="H87" s="3">
        <v>4995</v>
      </c>
      <c r="I87" s="4">
        <v>3916.08</v>
      </c>
      <c r="J87" s="4">
        <f t="shared" si="7"/>
        <v>3318.7118644067796</v>
      </c>
      <c r="K87" s="5">
        <v>75</v>
      </c>
      <c r="L87" s="5">
        <f t="shared" si="8"/>
        <v>750</v>
      </c>
      <c r="M87" s="4">
        <f t="shared" si="9"/>
        <v>2568.7118644067796</v>
      </c>
      <c r="N87" s="3"/>
      <c r="O87" s="4">
        <f t="shared" si="11"/>
        <v>2568.7118644067796</v>
      </c>
      <c r="P87" s="6">
        <f t="shared" si="10"/>
        <v>3031.08</v>
      </c>
    </row>
    <row r="88" spans="1:16" x14ac:dyDescent="0.25">
      <c r="A88" s="2">
        <v>7489242</v>
      </c>
      <c r="B88" s="2" t="s">
        <v>104</v>
      </c>
      <c r="C88" s="3" t="s">
        <v>22</v>
      </c>
      <c r="D88" s="3"/>
      <c r="E88" s="3">
        <v>10</v>
      </c>
      <c r="F88" s="3">
        <v>10</v>
      </c>
      <c r="G88" s="3">
        <f t="shared" si="6"/>
        <v>1</v>
      </c>
      <c r="H88" s="3">
        <v>4995</v>
      </c>
      <c r="I88" s="4">
        <v>3916.08</v>
      </c>
      <c r="J88" s="4">
        <f t="shared" si="7"/>
        <v>3318.7118644067796</v>
      </c>
      <c r="K88" s="5">
        <v>75</v>
      </c>
      <c r="L88" s="5">
        <f t="shared" si="8"/>
        <v>750</v>
      </c>
      <c r="M88" s="4">
        <f t="shared" si="9"/>
        <v>2568.7118644067796</v>
      </c>
      <c r="N88" s="3"/>
      <c r="O88" s="4">
        <f t="shared" si="11"/>
        <v>2568.7118644067796</v>
      </c>
      <c r="P88" s="6">
        <f t="shared" si="10"/>
        <v>3031.08</v>
      </c>
    </row>
    <row r="89" spans="1:16" x14ac:dyDescent="0.25">
      <c r="A89" s="2">
        <v>7489250</v>
      </c>
      <c r="B89" s="2" t="s">
        <v>105</v>
      </c>
      <c r="C89" s="3" t="s">
        <v>22</v>
      </c>
      <c r="D89" s="3"/>
      <c r="E89" s="3">
        <v>7.5</v>
      </c>
      <c r="F89" s="3">
        <v>7.5</v>
      </c>
      <c r="G89" s="3">
        <f t="shared" si="6"/>
        <v>1</v>
      </c>
      <c r="H89" s="3">
        <v>3778</v>
      </c>
      <c r="I89" s="4">
        <v>2958.1739999999995</v>
      </c>
      <c r="J89" s="4">
        <f t="shared" si="7"/>
        <v>2506.9271186440674</v>
      </c>
      <c r="K89" s="5">
        <v>75</v>
      </c>
      <c r="L89" s="5">
        <f t="shared" si="8"/>
        <v>562.5</v>
      </c>
      <c r="M89" s="4">
        <f t="shared" si="9"/>
        <v>1944.4271186440674</v>
      </c>
      <c r="N89" s="3"/>
      <c r="O89" s="4">
        <f t="shared" si="11"/>
        <v>1944.4271186440674</v>
      </c>
      <c r="P89" s="6">
        <f t="shared" si="10"/>
        <v>2294.4239999999995</v>
      </c>
    </row>
    <row r="90" spans="1:16" x14ac:dyDescent="0.25">
      <c r="A90" s="2">
        <v>7489251</v>
      </c>
      <c r="B90" s="2" t="s">
        <v>106</v>
      </c>
      <c r="C90" s="3" t="s">
        <v>22</v>
      </c>
      <c r="D90" s="3"/>
      <c r="E90" s="3">
        <v>7.5</v>
      </c>
      <c r="F90" s="3">
        <v>7.5</v>
      </c>
      <c r="G90" s="3">
        <f t="shared" si="6"/>
        <v>1</v>
      </c>
      <c r="H90" s="3">
        <v>3778</v>
      </c>
      <c r="I90" s="4">
        <v>2958.1739999999995</v>
      </c>
      <c r="J90" s="4">
        <f t="shared" si="7"/>
        <v>2506.9271186440674</v>
      </c>
      <c r="K90" s="5">
        <v>75</v>
      </c>
      <c r="L90" s="5">
        <f t="shared" si="8"/>
        <v>562.5</v>
      </c>
      <c r="M90" s="4">
        <f t="shared" si="9"/>
        <v>1944.4271186440674</v>
      </c>
      <c r="N90" s="3"/>
      <c r="O90" s="4">
        <f t="shared" si="11"/>
        <v>1944.4271186440674</v>
      </c>
      <c r="P90" s="6">
        <f t="shared" si="10"/>
        <v>2294.4239999999995</v>
      </c>
    </row>
    <row r="91" spans="1:16" x14ac:dyDescent="0.25">
      <c r="A91" s="2">
        <v>7489253</v>
      </c>
      <c r="B91" s="2" t="s">
        <v>107</v>
      </c>
      <c r="C91" s="3" t="s">
        <v>22</v>
      </c>
      <c r="D91" s="3"/>
      <c r="E91" s="3">
        <v>15</v>
      </c>
      <c r="F91" s="3">
        <v>15</v>
      </c>
      <c r="G91" s="3">
        <f t="shared" si="6"/>
        <v>1</v>
      </c>
      <c r="H91" s="3">
        <v>7429</v>
      </c>
      <c r="I91" s="4">
        <v>5807.2493000000004</v>
      </c>
      <c r="J91" s="4">
        <f t="shared" si="7"/>
        <v>4921.397711864407</v>
      </c>
      <c r="K91" s="5">
        <v>75</v>
      </c>
      <c r="L91" s="5">
        <f t="shared" si="8"/>
        <v>1125</v>
      </c>
      <c r="M91" s="4">
        <f t="shared" si="9"/>
        <v>3796.397711864407</v>
      </c>
      <c r="N91" s="3"/>
      <c r="O91" s="4">
        <f t="shared" si="11"/>
        <v>3796.397711864407</v>
      </c>
      <c r="P91" s="6">
        <f t="shared" si="10"/>
        <v>4479.7493000000004</v>
      </c>
    </row>
    <row r="92" spans="1:16" x14ac:dyDescent="0.25">
      <c r="A92" s="2">
        <v>7489256</v>
      </c>
      <c r="B92" s="2" t="s">
        <v>108</v>
      </c>
      <c r="C92" s="3" t="s">
        <v>22</v>
      </c>
      <c r="D92" s="3"/>
      <c r="E92" s="3">
        <v>15</v>
      </c>
      <c r="F92" s="3">
        <v>15</v>
      </c>
      <c r="G92" s="3">
        <f t="shared" si="6"/>
        <v>1</v>
      </c>
      <c r="H92" s="3">
        <v>7429</v>
      </c>
      <c r="I92" s="4">
        <v>5807.2493000000004</v>
      </c>
      <c r="J92" s="4">
        <f t="shared" si="7"/>
        <v>4921.397711864407</v>
      </c>
      <c r="K92" s="5">
        <v>75</v>
      </c>
      <c r="L92" s="5">
        <f t="shared" si="8"/>
        <v>1125</v>
      </c>
      <c r="M92" s="4">
        <f t="shared" si="9"/>
        <v>3796.397711864407</v>
      </c>
      <c r="N92" s="3"/>
      <c r="O92" s="4">
        <f t="shared" si="11"/>
        <v>3796.397711864407</v>
      </c>
      <c r="P92" s="6">
        <f t="shared" si="10"/>
        <v>4479.7493000000004</v>
      </c>
    </row>
    <row r="93" spans="1:16" x14ac:dyDescent="0.25">
      <c r="A93" s="2">
        <v>7489265</v>
      </c>
      <c r="B93" s="2" t="s">
        <v>109</v>
      </c>
      <c r="C93" s="3" t="s">
        <v>22</v>
      </c>
      <c r="D93" s="3"/>
      <c r="E93" s="3">
        <v>20</v>
      </c>
      <c r="F93" s="3">
        <v>20</v>
      </c>
      <c r="G93" s="3">
        <f t="shared" si="6"/>
        <v>1</v>
      </c>
      <c r="H93" s="3">
        <v>9822</v>
      </c>
      <c r="I93" s="4">
        <v>7720.0919999999996</v>
      </c>
      <c r="J93" s="4">
        <f t="shared" si="7"/>
        <v>6542.4508474576269</v>
      </c>
      <c r="K93" s="5">
        <v>75</v>
      </c>
      <c r="L93" s="5">
        <f t="shared" si="8"/>
        <v>1500</v>
      </c>
      <c r="M93" s="4">
        <f t="shared" si="9"/>
        <v>5042.4508474576269</v>
      </c>
      <c r="N93" s="3"/>
      <c r="O93" s="4">
        <f t="shared" si="11"/>
        <v>5042.4508474576269</v>
      </c>
      <c r="P93" s="6">
        <f t="shared" si="10"/>
        <v>5950.0919999999996</v>
      </c>
    </row>
    <row r="94" spans="1:16" x14ac:dyDescent="0.25">
      <c r="A94" s="2">
        <v>7511184</v>
      </c>
      <c r="B94" s="2" t="s">
        <v>110</v>
      </c>
      <c r="C94" s="3" t="s">
        <v>17</v>
      </c>
      <c r="D94" s="3"/>
      <c r="E94" s="3">
        <v>20</v>
      </c>
      <c r="F94" s="3">
        <v>1</v>
      </c>
      <c r="G94" s="3">
        <f t="shared" si="6"/>
        <v>20</v>
      </c>
      <c r="H94" s="3">
        <v>499</v>
      </c>
      <c r="I94" s="4">
        <v>379.4396000000001</v>
      </c>
      <c r="J94" s="4">
        <f t="shared" si="7"/>
        <v>321.55898305084753</v>
      </c>
      <c r="K94" s="5">
        <v>65</v>
      </c>
      <c r="L94" s="5">
        <f t="shared" si="8"/>
        <v>65</v>
      </c>
      <c r="M94" s="4">
        <f t="shared" si="9"/>
        <v>256.55898305084753</v>
      </c>
      <c r="N94" s="3"/>
      <c r="O94" s="4">
        <f t="shared" si="11"/>
        <v>256.55898305084753</v>
      </c>
      <c r="P94" s="6">
        <f t="shared" si="10"/>
        <v>302.73960000000005</v>
      </c>
    </row>
    <row r="95" spans="1:16" x14ac:dyDescent="0.25">
      <c r="A95" s="2">
        <v>7511195</v>
      </c>
      <c r="B95" s="2" t="s">
        <v>111</v>
      </c>
      <c r="C95" s="3" t="s">
        <v>17</v>
      </c>
      <c r="D95" s="3"/>
      <c r="E95" s="3">
        <v>10</v>
      </c>
      <c r="F95" s="3">
        <v>2.5</v>
      </c>
      <c r="G95" s="3">
        <f t="shared" si="6"/>
        <v>4</v>
      </c>
      <c r="H95" s="3">
        <v>1314</v>
      </c>
      <c r="I95" s="4">
        <v>943.84619999999995</v>
      </c>
      <c r="J95" s="4">
        <f t="shared" si="7"/>
        <v>799.86966101694918</v>
      </c>
      <c r="K95" s="5">
        <v>65</v>
      </c>
      <c r="L95" s="5">
        <f t="shared" si="8"/>
        <v>162.5</v>
      </c>
      <c r="M95" s="4">
        <f t="shared" si="9"/>
        <v>637.36966101694918</v>
      </c>
      <c r="N95" s="3"/>
      <c r="O95" s="4">
        <f t="shared" si="11"/>
        <v>637.36966101694918</v>
      </c>
      <c r="P95" s="6">
        <f t="shared" si="10"/>
        <v>752.09619999999995</v>
      </c>
    </row>
    <row r="96" spans="1:16" x14ac:dyDescent="0.25">
      <c r="A96" s="2">
        <v>7511234</v>
      </c>
      <c r="B96" s="2" t="s">
        <v>112</v>
      </c>
      <c r="C96" s="3" t="s">
        <v>17</v>
      </c>
      <c r="D96" s="3"/>
      <c r="E96" s="3">
        <v>20</v>
      </c>
      <c r="F96" s="3">
        <v>5</v>
      </c>
      <c r="G96" s="3">
        <f t="shared" si="6"/>
        <v>4</v>
      </c>
      <c r="H96" s="3">
        <v>2445</v>
      </c>
      <c r="I96" s="4">
        <v>1877.76</v>
      </c>
      <c r="J96" s="4">
        <f t="shared" si="7"/>
        <v>1591.3220338983051</v>
      </c>
      <c r="K96" s="5">
        <v>65</v>
      </c>
      <c r="L96" s="5">
        <f t="shared" si="8"/>
        <v>325</v>
      </c>
      <c r="M96" s="4">
        <f t="shared" si="9"/>
        <v>1266.3220338983051</v>
      </c>
      <c r="N96" s="3"/>
      <c r="O96" s="4">
        <f t="shared" si="11"/>
        <v>1266.3220338983051</v>
      </c>
      <c r="P96" s="6">
        <f t="shared" si="10"/>
        <v>1494.26</v>
      </c>
    </row>
    <row r="97" spans="1:16" x14ac:dyDescent="0.25">
      <c r="A97" s="2">
        <v>7511240</v>
      </c>
      <c r="B97" s="2" t="s">
        <v>113</v>
      </c>
      <c r="C97" s="3" t="s">
        <v>17</v>
      </c>
      <c r="D97" s="3"/>
      <c r="E97" s="3">
        <v>20</v>
      </c>
      <c r="F97" s="3">
        <v>5</v>
      </c>
      <c r="G97" s="3">
        <f t="shared" si="6"/>
        <v>4</v>
      </c>
      <c r="H97" s="3">
        <v>2445</v>
      </c>
      <c r="I97" s="4">
        <v>1877.76</v>
      </c>
      <c r="J97" s="4">
        <f t="shared" si="7"/>
        <v>1591.3220338983051</v>
      </c>
      <c r="K97" s="5">
        <v>65</v>
      </c>
      <c r="L97" s="5">
        <f t="shared" si="8"/>
        <v>325</v>
      </c>
      <c r="M97" s="4">
        <f t="shared" si="9"/>
        <v>1266.3220338983051</v>
      </c>
      <c r="N97" s="3"/>
      <c r="O97" s="4">
        <f t="shared" si="11"/>
        <v>1266.3220338983051</v>
      </c>
      <c r="P97" s="6">
        <f t="shared" si="10"/>
        <v>1494.26</v>
      </c>
    </row>
    <row r="98" spans="1:16" x14ac:dyDescent="0.25">
      <c r="A98" s="2">
        <v>7511251</v>
      </c>
      <c r="B98" s="2" t="s">
        <v>114</v>
      </c>
      <c r="C98" s="3" t="s">
        <v>22</v>
      </c>
      <c r="D98" s="3"/>
      <c r="E98" s="3">
        <v>7.5</v>
      </c>
      <c r="F98" s="3">
        <v>7.5</v>
      </c>
      <c r="G98" s="3">
        <f t="shared" si="6"/>
        <v>1</v>
      </c>
      <c r="H98" s="3">
        <v>3620</v>
      </c>
      <c r="I98" s="4">
        <v>2794.2779999999998</v>
      </c>
      <c r="J98" s="4">
        <f t="shared" si="7"/>
        <v>2368.0322033898306</v>
      </c>
      <c r="K98" s="5">
        <v>65</v>
      </c>
      <c r="L98" s="5">
        <f t="shared" si="8"/>
        <v>487.5</v>
      </c>
      <c r="M98" s="4">
        <f t="shared" si="9"/>
        <v>1880.5322033898306</v>
      </c>
      <c r="N98" s="3"/>
      <c r="O98" s="4">
        <f t="shared" si="11"/>
        <v>1880.5322033898306</v>
      </c>
      <c r="P98" s="6">
        <f t="shared" si="10"/>
        <v>2219.0279999999998</v>
      </c>
    </row>
    <row r="99" spans="1:16" x14ac:dyDescent="0.25">
      <c r="A99" s="2">
        <v>7511265</v>
      </c>
      <c r="B99" s="2" t="s">
        <v>115</v>
      </c>
      <c r="C99" s="3" t="s">
        <v>22</v>
      </c>
      <c r="D99" s="3"/>
      <c r="E99" s="3">
        <v>20</v>
      </c>
      <c r="F99" s="3">
        <v>20</v>
      </c>
      <c r="G99" s="3">
        <f t="shared" si="6"/>
        <v>1</v>
      </c>
      <c r="H99" s="3">
        <v>9414</v>
      </c>
      <c r="I99" s="4">
        <v>7388.1072000000013</v>
      </c>
      <c r="J99" s="4">
        <f t="shared" si="7"/>
        <v>6261.1077966101711</v>
      </c>
      <c r="K99" s="5">
        <v>75</v>
      </c>
      <c r="L99" s="5">
        <f t="shared" si="8"/>
        <v>1500</v>
      </c>
      <c r="M99" s="4">
        <f t="shared" si="9"/>
        <v>4761.1077966101711</v>
      </c>
      <c r="N99" s="3"/>
      <c r="O99" s="4">
        <f t="shared" si="11"/>
        <v>4761.1077966101711</v>
      </c>
      <c r="P99" s="6">
        <f t="shared" si="10"/>
        <v>5618.1072000000013</v>
      </c>
    </row>
    <row r="100" spans="1:16" x14ac:dyDescent="0.25">
      <c r="A100" s="2">
        <v>7511269</v>
      </c>
      <c r="B100" s="2" t="s">
        <v>116</v>
      </c>
      <c r="C100" s="3" t="s">
        <v>22</v>
      </c>
      <c r="D100" s="3"/>
      <c r="E100" s="3">
        <v>20</v>
      </c>
      <c r="F100" s="3">
        <v>20</v>
      </c>
      <c r="G100" s="3">
        <f t="shared" si="6"/>
        <v>1</v>
      </c>
      <c r="H100" s="3">
        <v>9414</v>
      </c>
      <c r="I100" s="4">
        <v>7388.1072000000013</v>
      </c>
      <c r="J100" s="4">
        <f t="shared" si="7"/>
        <v>6261.1077966101711</v>
      </c>
      <c r="K100" s="5">
        <v>75</v>
      </c>
      <c r="L100" s="5">
        <f t="shared" si="8"/>
        <v>1500</v>
      </c>
      <c r="M100" s="4">
        <f t="shared" si="9"/>
        <v>4761.1077966101711</v>
      </c>
      <c r="N100" s="3"/>
      <c r="O100" s="4">
        <f t="shared" si="11"/>
        <v>4761.1077966101711</v>
      </c>
      <c r="P100" s="6">
        <f t="shared" si="10"/>
        <v>5618.1072000000013</v>
      </c>
    </row>
    <row r="101" spans="1:16" x14ac:dyDescent="0.25">
      <c r="A101" s="2">
        <v>7515052</v>
      </c>
      <c r="B101" s="2" t="s">
        <v>117</v>
      </c>
      <c r="C101" s="3" t="s">
        <v>22</v>
      </c>
      <c r="D101" s="3"/>
      <c r="E101" s="3">
        <v>12</v>
      </c>
      <c r="F101" s="3">
        <v>12</v>
      </c>
      <c r="G101" s="3">
        <f t="shared" si="6"/>
        <v>1</v>
      </c>
      <c r="H101" s="3">
        <v>6352</v>
      </c>
      <c r="I101" s="4">
        <v>4716.9952000000003</v>
      </c>
      <c r="J101" s="4">
        <f t="shared" si="7"/>
        <v>3997.4535593220344</v>
      </c>
      <c r="K101" s="5">
        <v>65</v>
      </c>
      <c r="L101" s="5">
        <f t="shared" si="8"/>
        <v>780</v>
      </c>
      <c r="M101" s="4">
        <f t="shared" si="9"/>
        <v>3217.4535593220344</v>
      </c>
      <c r="N101" s="3"/>
      <c r="O101" s="4">
        <f t="shared" si="11"/>
        <v>3217.4535593220344</v>
      </c>
      <c r="P101" s="6">
        <f t="shared" si="10"/>
        <v>3796.5952000000002</v>
      </c>
    </row>
    <row r="102" spans="1:16" x14ac:dyDescent="0.25">
      <c r="A102" s="2">
        <v>7515184</v>
      </c>
      <c r="B102" s="2" t="s">
        <v>118</v>
      </c>
      <c r="C102" s="3" t="s">
        <v>17</v>
      </c>
      <c r="D102" s="3"/>
      <c r="E102" s="3">
        <v>20</v>
      </c>
      <c r="F102" s="3">
        <v>1</v>
      </c>
      <c r="G102" s="3">
        <f t="shared" si="6"/>
        <v>20</v>
      </c>
      <c r="H102" s="3">
        <v>551</v>
      </c>
      <c r="I102" s="4">
        <v>405.64620000000002</v>
      </c>
      <c r="J102" s="4">
        <f t="shared" si="7"/>
        <v>343.76796610169492</v>
      </c>
      <c r="K102" s="5">
        <v>65</v>
      </c>
      <c r="L102" s="5">
        <f t="shared" si="8"/>
        <v>65</v>
      </c>
      <c r="M102" s="4">
        <f t="shared" si="9"/>
        <v>278.76796610169492</v>
      </c>
      <c r="N102" s="3"/>
      <c r="O102" s="4">
        <f t="shared" si="11"/>
        <v>278.76796610169492</v>
      </c>
      <c r="P102" s="6">
        <f t="shared" si="10"/>
        <v>328.94619999999998</v>
      </c>
    </row>
    <row r="103" spans="1:16" x14ac:dyDescent="0.25">
      <c r="A103" s="2">
        <v>7515234</v>
      </c>
      <c r="B103" s="2" t="s">
        <v>119</v>
      </c>
      <c r="C103" s="3" t="s">
        <v>17</v>
      </c>
      <c r="D103" s="3"/>
      <c r="E103" s="3">
        <v>20</v>
      </c>
      <c r="F103" s="3">
        <v>5</v>
      </c>
      <c r="G103" s="3">
        <f t="shared" si="6"/>
        <v>4</v>
      </c>
      <c r="H103" s="3">
        <v>2588</v>
      </c>
      <c r="I103" s="4">
        <v>2015.0167999999999</v>
      </c>
      <c r="J103" s="4">
        <f t="shared" si="7"/>
        <v>1707.6413559322034</v>
      </c>
      <c r="K103" s="5">
        <v>65</v>
      </c>
      <c r="L103" s="5">
        <f t="shared" si="8"/>
        <v>325</v>
      </c>
      <c r="M103" s="4">
        <f t="shared" si="9"/>
        <v>1382.6413559322034</v>
      </c>
      <c r="N103" s="3"/>
      <c r="O103" s="4">
        <f t="shared" si="11"/>
        <v>1382.6413559322034</v>
      </c>
      <c r="P103" s="6">
        <f t="shared" si="10"/>
        <v>1631.5167999999999</v>
      </c>
    </row>
    <row r="104" spans="1:16" x14ac:dyDescent="0.25">
      <c r="A104" s="2">
        <v>7515240</v>
      </c>
      <c r="B104" s="2" t="s">
        <v>120</v>
      </c>
      <c r="C104" s="3" t="s">
        <v>17</v>
      </c>
      <c r="D104" s="3"/>
      <c r="E104" s="3">
        <v>20</v>
      </c>
      <c r="F104" s="3">
        <v>5</v>
      </c>
      <c r="G104" s="3">
        <f t="shared" si="6"/>
        <v>4</v>
      </c>
      <c r="H104" s="3">
        <v>2588</v>
      </c>
      <c r="I104" s="4">
        <v>2015.0167999999999</v>
      </c>
      <c r="J104" s="4">
        <f t="shared" si="7"/>
        <v>1707.6413559322034</v>
      </c>
      <c r="K104" s="5">
        <v>65</v>
      </c>
      <c r="L104" s="5">
        <f t="shared" si="8"/>
        <v>325</v>
      </c>
      <c r="M104" s="4">
        <f t="shared" si="9"/>
        <v>1382.6413559322034</v>
      </c>
      <c r="N104" s="3"/>
      <c r="O104" s="4">
        <f t="shared" si="11"/>
        <v>1382.6413559322034</v>
      </c>
      <c r="P104" s="6">
        <f t="shared" si="10"/>
        <v>1631.5167999999999</v>
      </c>
    </row>
    <row r="105" spans="1:16" x14ac:dyDescent="0.25">
      <c r="A105" s="2">
        <v>7515251</v>
      </c>
      <c r="B105" s="2" t="s">
        <v>121</v>
      </c>
      <c r="C105" s="3" t="s">
        <v>22</v>
      </c>
      <c r="D105" s="3"/>
      <c r="E105" s="3">
        <v>7.5</v>
      </c>
      <c r="F105" s="3">
        <v>7.5</v>
      </c>
      <c r="G105" s="3">
        <f t="shared" si="6"/>
        <v>1</v>
      </c>
      <c r="H105" s="3">
        <v>3871</v>
      </c>
      <c r="I105" s="4">
        <v>3011.2509000000005</v>
      </c>
      <c r="J105" s="4">
        <f t="shared" si="7"/>
        <v>2551.9075423728818</v>
      </c>
      <c r="K105" s="5">
        <v>75</v>
      </c>
      <c r="L105" s="5">
        <f t="shared" si="8"/>
        <v>562.5</v>
      </c>
      <c r="M105" s="4">
        <f t="shared" si="9"/>
        <v>1989.4075423728818</v>
      </c>
      <c r="N105" s="3"/>
      <c r="O105" s="4">
        <f t="shared" si="11"/>
        <v>1989.4075423728818</v>
      </c>
      <c r="P105" s="6">
        <f t="shared" si="10"/>
        <v>2347.5009000000005</v>
      </c>
    </row>
    <row r="106" spans="1:16" x14ac:dyDescent="0.25">
      <c r="A106" s="2">
        <v>7515265</v>
      </c>
      <c r="B106" s="2" t="s">
        <v>122</v>
      </c>
      <c r="C106" s="3" t="s">
        <v>22</v>
      </c>
      <c r="D106" s="3"/>
      <c r="E106" s="3">
        <v>20</v>
      </c>
      <c r="F106" s="3">
        <v>20</v>
      </c>
      <c r="G106" s="3">
        <f t="shared" si="6"/>
        <v>1</v>
      </c>
      <c r="H106" s="3">
        <v>9975</v>
      </c>
      <c r="I106" s="4">
        <v>7805.4375</v>
      </c>
      <c r="J106" s="4">
        <f t="shared" si="7"/>
        <v>6614.7775423728817</v>
      </c>
      <c r="K106" s="5">
        <v>80</v>
      </c>
      <c r="L106" s="5">
        <f t="shared" si="8"/>
        <v>1600</v>
      </c>
      <c r="M106" s="4">
        <f t="shared" si="9"/>
        <v>5014.7775423728817</v>
      </c>
      <c r="N106" s="3"/>
      <c r="O106" s="4">
        <f t="shared" si="11"/>
        <v>5014.7775423728817</v>
      </c>
      <c r="P106" s="6">
        <f t="shared" si="10"/>
        <v>5917.4375</v>
      </c>
    </row>
    <row r="107" spans="1:16" x14ac:dyDescent="0.25">
      <c r="A107" s="2">
        <v>7515269</v>
      </c>
      <c r="B107" s="2" t="s">
        <v>123</v>
      </c>
      <c r="C107" s="3" t="s">
        <v>22</v>
      </c>
      <c r="D107" s="3"/>
      <c r="E107" s="3">
        <v>20</v>
      </c>
      <c r="F107" s="3">
        <v>20</v>
      </c>
      <c r="G107" s="3">
        <f t="shared" si="6"/>
        <v>1</v>
      </c>
      <c r="H107" s="3">
        <v>9975</v>
      </c>
      <c r="I107" s="4">
        <v>7805.4375</v>
      </c>
      <c r="J107" s="4">
        <f t="shared" si="7"/>
        <v>6614.7775423728817</v>
      </c>
      <c r="K107" s="5">
        <v>80</v>
      </c>
      <c r="L107" s="5">
        <f t="shared" si="8"/>
        <v>1600</v>
      </c>
      <c r="M107" s="4">
        <f t="shared" si="9"/>
        <v>5014.7775423728817</v>
      </c>
      <c r="N107" s="3"/>
      <c r="O107" s="4">
        <f t="shared" si="11"/>
        <v>5014.7775423728817</v>
      </c>
      <c r="P107" s="6">
        <f t="shared" si="10"/>
        <v>5917.4375</v>
      </c>
    </row>
    <row r="108" spans="1:16" x14ac:dyDescent="0.25">
      <c r="A108" s="2">
        <v>7530225</v>
      </c>
      <c r="B108" s="2" t="s">
        <v>124</v>
      </c>
      <c r="C108" s="3" t="s">
        <v>17</v>
      </c>
      <c r="D108" s="3"/>
      <c r="E108" s="3">
        <v>24</v>
      </c>
      <c r="F108" s="3">
        <v>1.2</v>
      </c>
      <c r="G108" s="3">
        <f t="shared" si="6"/>
        <v>20</v>
      </c>
      <c r="H108" s="3">
        <v>580</v>
      </c>
      <c r="I108" s="4">
        <v>450.42799999999994</v>
      </c>
      <c r="J108" s="4">
        <f t="shared" si="7"/>
        <v>381.71864406779656</v>
      </c>
      <c r="K108" s="5">
        <v>60</v>
      </c>
      <c r="L108" s="5">
        <f t="shared" si="8"/>
        <v>72</v>
      </c>
      <c r="M108" s="4">
        <f t="shared" si="9"/>
        <v>309.71864406779656</v>
      </c>
      <c r="N108" s="3"/>
      <c r="O108" s="4">
        <f t="shared" si="11"/>
        <v>309.71864406779656</v>
      </c>
      <c r="P108" s="6">
        <f t="shared" si="10"/>
        <v>365.4679999999999</v>
      </c>
    </row>
    <row r="109" spans="1:16" x14ac:dyDescent="0.25">
      <c r="A109" s="2">
        <v>7553213</v>
      </c>
      <c r="B109" s="2" t="s">
        <v>125</v>
      </c>
      <c r="C109" s="3" t="s">
        <v>17</v>
      </c>
      <c r="D109" s="3"/>
      <c r="E109" s="3">
        <v>14</v>
      </c>
      <c r="F109" s="3">
        <v>3.5</v>
      </c>
      <c r="G109" s="3">
        <f t="shared" si="6"/>
        <v>4</v>
      </c>
      <c r="H109" s="3">
        <v>1721</v>
      </c>
      <c r="I109" s="4">
        <v>1255.6415999999999</v>
      </c>
      <c r="J109" s="4">
        <f t="shared" si="7"/>
        <v>1064.1030508474576</v>
      </c>
      <c r="K109" s="5">
        <v>60</v>
      </c>
      <c r="L109" s="5">
        <f t="shared" si="8"/>
        <v>210</v>
      </c>
      <c r="M109" s="4">
        <f t="shared" si="9"/>
        <v>854.10305084745755</v>
      </c>
      <c r="N109" s="3"/>
      <c r="O109" s="4">
        <f t="shared" si="11"/>
        <v>854.10305084745755</v>
      </c>
      <c r="P109" s="6">
        <f t="shared" si="10"/>
        <v>1007.8415999999999</v>
      </c>
    </row>
    <row r="110" spans="1:16" x14ac:dyDescent="0.25">
      <c r="A110" s="2">
        <v>7556184</v>
      </c>
      <c r="B110" s="2" t="s">
        <v>126</v>
      </c>
      <c r="C110" s="3" t="s">
        <v>17</v>
      </c>
      <c r="D110" s="3"/>
      <c r="E110" s="3">
        <v>20</v>
      </c>
      <c r="F110" s="3">
        <v>1</v>
      </c>
      <c r="G110" s="3">
        <f t="shared" si="6"/>
        <v>20</v>
      </c>
      <c r="H110" s="3">
        <v>481</v>
      </c>
      <c r="I110" s="4">
        <v>369.7928</v>
      </c>
      <c r="J110" s="4">
        <f t="shared" si="7"/>
        <v>313.38372881355934</v>
      </c>
      <c r="K110" s="5">
        <v>50</v>
      </c>
      <c r="L110" s="5">
        <f t="shared" si="8"/>
        <v>50</v>
      </c>
      <c r="M110" s="4">
        <f t="shared" si="9"/>
        <v>263.38372881355934</v>
      </c>
      <c r="N110" s="3"/>
      <c r="O110" s="4">
        <f t="shared" si="11"/>
        <v>263.38372881355934</v>
      </c>
      <c r="P110" s="6">
        <f t="shared" si="10"/>
        <v>310.7928</v>
      </c>
    </row>
    <row r="111" spans="1:16" x14ac:dyDescent="0.25">
      <c r="A111" s="2">
        <v>7556195</v>
      </c>
      <c r="B111" s="2" t="s">
        <v>127</v>
      </c>
      <c r="C111" s="3" t="s">
        <v>17</v>
      </c>
      <c r="D111" s="3"/>
      <c r="E111" s="3">
        <v>10</v>
      </c>
      <c r="F111" s="3">
        <v>2.5</v>
      </c>
      <c r="G111" s="3">
        <f t="shared" si="6"/>
        <v>4</v>
      </c>
      <c r="H111" s="3">
        <v>1220</v>
      </c>
      <c r="I111" s="4">
        <v>938.42400000000009</v>
      </c>
      <c r="J111" s="4">
        <f t="shared" si="7"/>
        <v>795.27457627118656</v>
      </c>
      <c r="K111" s="5">
        <v>50</v>
      </c>
      <c r="L111" s="5">
        <f t="shared" si="8"/>
        <v>125</v>
      </c>
      <c r="M111" s="4">
        <f t="shared" si="9"/>
        <v>670.27457627118656</v>
      </c>
      <c r="N111" s="3"/>
      <c r="O111" s="4">
        <f t="shared" si="11"/>
        <v>670.27457627118656</v>
      </c>
      <c r="P111" s="6">
        <f t="shared" si="10"/>
        <v>790.92400000000009</v>
      </c>
    </row>
    <row r="112" spans="1:16" x14ac:dyDescent="0.25">
      <c r="A112" s="2">
        <v>7556203</v>
      </c>
      <c r="B112" s="2" t="s">
        <v>128</v>
      </c>
      <c r="C112" s="3" t="s">
        <v>17</v>
      </c>
      <c r="D112" s="3"/>
      <c r="E112" s="3">
        <v>12</v>
      </c>
      <c r="F112" s="3">
        <v>3</v>
      </c>
      <c r="G112" s="3">
        <f t="shared" si="6"/>
        <v>4</v>
      </c>
      <c r="H112" s="3">
        <v>1433</v>
      </c>
      <c r="I112" s="4">
        <v>1109.5719000000001</v>
      </c>
      <c r="J112" s="4">
        <f t="shared" si="7"/>
        <v>940.31516949152558</v>
      </c>
      <c r="K112" s="5">
        <v>70</v>
      </c>
      <c r="L112" s="5">
        <f t="shared" si="8"/>
        <v>210</v>
      </c>
      <c r="M112" s="4">
        <f t="shared" si="9"/>
        <v>730.31516949152558</v>
      </c>
      <c r="N112" s="3"/>
      <c r="O112" s="4">
        <f t="shared" si="11"/>
        <v>730.31516949152558</v>
      </c>
      <c r="P112" s="6">
        <f t="shared" si="10"/>
        <v>861.77190000000019</v>
      </c>
    </row>
    <row r="113" spans="1:16" x14ac:dyDescent="0.25">
      <c r="A113" s="2">
        <v>7556204</v>
      </c>
      <c r="B113" s="2" t="s">
        <v>129</v>
      </c>
      <c r="C113" s="3" t="s">
        <v>17</v>
      </c>
      <c r="D113" s="3"/>
      <c r="E113" s="3">
        <v>12</v>
      </c>
      <c r="F113" s="3">
        <v>3</v>
      </c>
      <c r="G113" s="3">
        <f t="shared" si="6"/>
        <v>4</v>
      </c>
      <c r="H113" s="3">
        <v>1433</v>
      </c>
      <c r="I113" s="4">
        <v>1109.5719000000001</v>
      </c>
      <c r="J113" s="4">
        <f t="shared" si="7"/>
        <v>940.31516949152558</v>
      </c>
      <c r="K113" s="5">
        <v>70</v>
      </c>
      <c r="L113" s="5">
        <f t="shared" si="8"/>
        <v>210</v>
      </c>
      <c r="M113" s="4">
        <f t="shared" si="9"/>
        <v>730.31516949152558</v>
      </c>
      <c r="N113" s="3"/>
      <c r="O113" s="4">
        <f t="shared" si="11"/>
        <v>730.31516949152558</v>
      </c>
      <c r="P113" s="6">
        <f t="shared" si="10"/>
        <v>861.77190000000019</v>
      </c>
    </row>
    <row r="114" spans="1:16" x14ac:dyDescent="0.25">
      <c r="A114" s="2">
        <v>7556234</v>
      </c>
      <c r="B114" s="2" t="s">
        <v>130</v>
      </c>
      <c r="C114" s="3" t="s">
        <v>17</v>
      </c>
      <c r="D114" s="3"/>
      <c r="E114" s="3">
        <v>20</v>
      </c>
      <c r="F114" s="3">
        <v>5</v>
      </c>
      <c r="G114" s="3">
        <f t="shared" si="6"/>
        <v>4</v>
      </c>
      <c r="H114" s="3">
        <v>2365</v>
      </c>
      <c r="I114" s="4">
        <v>1834.7669999999998</v>
      </c>
      <c r="J114" s="4">
        <f t="shared" si="7"/>
        <v>1554.8872881355931</v>
      </c>
      <c r="K114" s="5">
        <v>70</v>
      </c>
      <c r="L114" s="5">
        <f t="shared" si="8"/>
        <v>350</v>
      </c>
      <c r="M114" s="4">
        <f t="shared" si="9"/>
        <v>1204.8872881355931</v>
      </c>
      <c r="N114" s="3"/>
      <c r="O114" s="4">
        <f t="shared" si="11"/>
        <v>1204.8872881355931</v>
      </c>
      <c r="P114" s="6">
        <f t="shared" si="10"/>
        <v>1421.7669999999998</v>
      </c>
    </row>
    <row r="115" spans="1:16" x14ac:dyDescent="0.25">
      <c r="A115" s="2">
        <v>7556241</v>
      </c>
      <c r="B115" s="2" t="s">
        <v>131</v>
      </c>
      <c r="C115" s="3" t="s">
        <v>22</v>
      </c>
      <c r="D115" s="3"/>
      <c r="E115" s="3">
        <v>10</v>
      </c>
      <c r="F115" s="3">
        <v>10</v>
      </c>
      <c r="G115" s="3">
        <f t="shared" si="6"/>
        <v>1</v>
      </c>
      <c r="H115" s="3">
        <v>4675</v>
      </c>
      <c r="I115" s="4">
        <v>3637.15</v>
      </c>
      <c r="J115" s="4">
        <f t="shared" si="7"/>
        <v>3082.3305084745766</v>
      </c>
      <c r="K115" s="5">
        <v>70</v>
      </c>
      <c r="L115" s="5">
        <f t="shared" si="8"/>
        <v>700</v>
      </c>
      <c r="M115" s="4">
        <f t="shared" si="9"/>
        <v>2382.3305084745766</v>
      </c>
      <c r="N115" s="3"/>
      <c r="O115" s="4">
        <f t="shared" si="11"/>
        <v>2382.3305084745766</v>
      </c>
      <c r="P115" s="6">
        <f t="shared" si="10"/>
        <v>2811.15</v>
      </c>
    </row>
    <row r="116" spans="1:16" x14ac:dyDescent="0.25">
      <c r="A116" s="2">
        <v>7556242</v>
      </c>
      <c r="B116" s="2" t="s">
        <v>132</v>
      </c>
      <c r="C116" s="3" t="s">
        <v>22</v>
      </c>
      <c r="D116" s="3"/>
      <c r="E116" s="3">
        <v>10</v>
      </c>
      <c r="F116" s="3">
        <v>10</v>
      </c>
      <c r="G116" s="3">
        <f t="shared" si="6"/>
        <v>1</v>
      </c>
      <c r="H116" s="3">
        <v>4675</v>
      </c>
      <c r="I116" s="4">
        <v>3637.15</v>
      </c>
      <c r="J116" s="4">
        <f t="shared" si="7"/>
        <v>3082.3305084745766</v>
      </c>
      <c r="K116" s="5">
        <v>75</v>
      </c>
      <c r="L116" s="5">
        <f t="shared" si="8"/>
        <v>750</v>
      </c>
      <c r="M116" s="4">
        <f t="shared" si="9"/>
        <v>2332.3305084745766</v>
      </c>
      <c r="N116" s="3"/>
      <c r="O116" s="4">
        <f t="shared" si="11"/>
        <v>2332.3305084745766</v>
      </c>
      <c r="P116" s="6">
        <f t="shared" si="10"/>
        <v>2752.15</v>
      </c>
    </row>
    <row r="117" spans="1:16" x14ac:dyDescent="0.25">
      <c r="A117" s="2">
        <v>7556250</v>
      </c>
      <c r="B117" s="2" t="s">
        <v>133</v>
      </c>
      <c r="C117" s="3" t="s">
        <v>22</v>
      </c>
      <c r="D117" s="3"/>
      <c r="E117" s="3">
        <v>7.5</v>
      </c>
      <c r="F117" s="3">
        <v>7.5</v>
      </c>
      <c r="G117" s="3">
        <f t="shared" si="6"/>
        <v>1</v>
      </c>
      <c r="H117" s="3">
        <v>3537</v>
      </c>
      <c r="I117" s="4">
        <v>2753.9082000000003</v>
      </c>
      <c r="J117" s="4">
        <f t="shared" si="7"/>
        <v>2333.8205084745769</v>
      </c>
      <c r="K117" s="5">
        <v>70</v>
      </c>
      <c r="L117" s="5">
        <f t="shared" si="8"/>
        <v>525</v>
      </c>
      <c r="M117" s="4">
        <f t="shared" si="9"/>
        <v>1808.8205084745769</v>
      </c>
      <c r="N117" s="3"/>
      <c r="O117" s="4">
        <f t="shared" si="11"/>
        <v>1808.8205084745769</v>
      </c>
      <c r="P117" s="6">
        <f t="shared" si="10"/>
        <v>2134.4082000000008</v>
      </c>
    </row>
    <row r="118" spans="1:16" x14ac:dyDescent="0.25">
      <c r="A118" s="2">
        <v>7556251</v>
      </c>
      <c r="B118" s="2" t="s">
        <v>134</v>
      </c>
      <c r="C118" s="3" t="s">
        <v>22</v>
      </c>
      <c r="D118" s="3"/>
      <c r="E118" s="3">
        <v>7.5</v>
      </c>
      <c r="F118" s="3">
        <v>7.5</v>
      </c>
      <c r="G118" s="3">
        <f t="shared" si="6"/>
        <v>1</v>
      </c>
      <c r="H118" s="3">
        <v>3537</v>
      </c>
      <c r="I118" s="4">
        <v>2753.9082000000003</v>
      </c>
      <c r="J118" s="4">
        <f t="shared" si="7"/>
        <v>2333.8205084745769</v>
      </c>
      <c r="K118" s="5">
        <v>80</v>
      </c>
      <c r="L118" s="5">
        <f t="shared" si="8"/>
        <v>600</v>
      </c>
      <c r="M118" s="4">
        <f t="shared" si="9"/>
        <v>1733.8205084745769</v>
      </c>
      <c r="N118" s="3"/>
      <c r="O118" s="4">
        <f t="shared" si="11"/>
        <v>1733.8205084745769</v>
      </c>
      <c r="P118" s="6">
        <f t="shared" si="10"/>
        <v>2045.9082000000005</v>
      </c>
    </row>
    <row r="119" spans="1:16" x14ac:dyDescent="0.25">
      <c r="A119" s="2">
        <v>7556253</v>
      </c>
      <c r="B119" s="2" t="s">
        <v>135</v>
      </c>
      <c r="C119" s="3" t="s">
        <v>22</v>
      </c>
      <c r="D119" s="3"/>
      <c r="E119" s="3">
        <v>15</v>
      </c>
      <c r="F119" s="3">
        <v>15</v>
      </c>
      <c r="G119" s="3">
        <f t="shared" si="6"/>
        <v>1</v>
      </c>
      <c r="H119" s="3">
        <v>6885</v>
      </c>
      <c r="I119" s="4">
        <v>5410.9215000000004</v>
      </c>
      <c r="J119" s="4">
        <f t="shared" si="7"/>
        <v>4585.5266949152547</v>
      </c>
      <c r="K119" s="5">
        <v>70</v>
      </c>
      <c r="L119" s="5">
        <f t="shared" si="8"/>
        <v>1050</v>
      </c>
      <c r="M119" s="4">
        <f t="shared" si="9"/>
        <v>3535.5266949152547</v>
      </c>
      <c r="N119" s="3"/>
      <c r="O119" s="4">
        <f t="shared" si="11"/>
        <v>3535.5266949152547</v>
      </c>
      <c r="P119" s="6">
        <f t="shared" si="10"/>
        <v>4171.9215000000004</v>
      </c>
    </row>
    <row r="120" spans="1:16" x14ac:dyDescent="0.25">
      <c r="A120" s="2">
        <v>7556256</v>
      </c>
      <c r="B120" s="2" t="s">
        <v>136</v>
      </c>
      <c r="C120" s="3" t="s">
        <v>22</v>
      </c>
      <c r="D120" s="3"/>
      <c r="E120" s="3">
        <v>15</v>
      </c>
      <c r="F120" s="3">
        <v>15</v>
      </c>
      <c r="G120" s="3">
        <f t="shared" si="6"/>
        <v>1</v>
      </c>
      <c r="H120" s="3">
        <v>6885</v>
      </c>
      <c r="I120" s="4">
        <v>5410.9215000000004</v>
      </c>
      <c r="J120" s="4">
        <f t="shared" si="7"/>
        <v>4585.5266949152547</v>
      </c>
      <c r="K120" s="5">
        <v>80</v>
      </c>
      <c r="L120" s="5">
        <f t="shared" si="8"/>
        <v>1200</v>
      </c>
      <c r="M120" s="4">
        <f t="shared" si="9"/>
        <v>3385.5266949152547</v>
      </c>
      <c r="N120" s="3"/>
      <c r="O120" s="4">
        <f t="shared" si="11"/>
        <v>3385.5266949152547</v>
      </c>
      <c r="P120" s="6">
        <f t="shared" si="10"/>
        <v>3994.9215000000004</v>
      </c>
    </row>
    <row r="121" spans="1:16" x14ac:dyDescent="0.25">
      <c r="A121" s="2">
        <v>7556265</v>
      </c>
      <c r="B121" s="2" t="s">
        <v>137</v>
      </c>
      <c r="C121" s="3" t="s">
        <v>22</v>
      </c>
      <c r="D121" s="3"/>
      <c r="E121" s="3">
        <v>20</v>
      </c>
      <c r="F121" s="3">
        <v>20</v>
      </c>
      <c r="G121" s="3">
        <f t="shared" si="6"/>
        <v>1</v>
      </c>
      <c r="H121" s="3">
        <v>9174</v>
      </c>
      <c r="I121" s="4">
        <v>7196.0855999999994</v>
      </c>
      <c r="J121" s="4">
        <f t="shared" si="7"/>
        <v>6098.3776271186443</v>
      </c>
      <c r="K121" s="5">
        <v>80</v>
      </c>
      <c r="L121" s="5">
        <f t="shared" si="8"/>
        <v>1600</v>
      </c>
      <c r="M121" s="4">
        <f t="shared" si="9"/>
        <v>4498.3776271186443</v>
      </c>
      <c r="N121" s="3"/>
      <c r="O121" s="4">
        <f t="shared" si="11"/>
        <v>4498.3776271186443</v>
      </c>
      <c r="P121" s="6">
        <f t="shared" si="10"/>
        <v>5308.0856000000003</v>
      </c>
    </row>
    <row r="122" spans="1:16" x14ac:dyDescent="0.25">
      <c r="A122" s="2">
        <v>7563250</v>
      </c>
      <c r="B122" s="2" t="s">
        <v>138</v>
      </c>
      <c r="C122" s="3" t="s">
        <v>22</v>
      </c>
      <c r="D122" s="3"/>
      <c r="E122" s="3">
        <v>7.5</v>
      </c>
      <c r="F122" s="3">
        <v>7.5</v>
      </c>
      <c r="G122" s="3">
        <f t="shared" si="6"/>
        <v>1</v>
      </c>
      <c r="H122" s="3">
        <v>3475</v>
      </c>
      <c r="I122" s="4">
        <v>2685.48</v>
      </c>
      <c r="J122" s="4">
        <f t="shared" si="7"/>
        <v>2275.8305084745766</v>
      </c>
      <c r="K122" s="5">
        <v>65</v>
      </c>
      <c r="L122" s="5">
        <f t="shared" si="8"/>
        <v>487.5</v>
      </c>
      <c r="M122" s="4">
        <f t="shared" si="9"/>
        <v>1788.3305084745766</v>
      </c>
      <c r="N122" s="3"/>
      <c r="O122" s="4">
        <f t="shared" si="11"/>
        <v>1788.3305084745766</v>
      </c>
      <c r="P122" s="6">
        <f t="shared" si="10"/>
        <v>2110.2300000000005</v>
      </c>
    </row>
    <row r="123" spans="1:16" x14ac:dyDescent="0.25">
      <c r="A123" s="2">
        <v>7563251</v>
      </c>
      <c r="B123" s="2" t="s">
        <v>139</v>
      </c>
      <c r="C123" s="3" t="s">
        <v>22</v>
      </c>
      <c r="D123" s="3"/>
      <c r="E123" s="3">
        <v>7.5</v>
      </c>
      <c r="F123" s="3">
        <v>7.5</v>
      </c>
      <c r="G123" s="3">
        <f t="shared" si="6"/>
        <v>1</v>
      </c>
      <c r="H123" s="3">
        <v>3475</v>
      </c>
      <c r="I123" s="4">
        <v>2685.48</v>
      </c>
      <c r="J123" s="4">
        <f t="shared" si="7"/>
        <v>2275.8305084745766</v>
      </c>
      <c r="K123" s="5">
        <v>65</v>
      </c>
      <c r="L123" s="5">
        <f t="shared" si="8"/>
        <v>487.5</v>
      </c>
      <c r="M123" s="4">
        <f t="shared" si="9"/>
        <v>1788.3305084745766</v>
      </c>
      <c r="N123" s="3"/>
      <c r="O123" s="4">
        <f t="shared" si="11"/>
        <v>1788.3305084745766</v>
      </c>
      <c r="P123" s="6">
        <f t="shared" si="10"/>
        <v>2110.2300000000005</v>
      </c>
    </row>
    <row r="124" spans="1:16" x14ac:dyDescent="0.25">
      <c r="A124" s="2">
        <v>7577174</v>
      </c>
      <c r="B124" s="2" t="s">
        <v>140</v>
      </c>
      <c r="C124" s="3" t="s">
        <v>17</v>
      </c>
      <c r="D124" s="3"/>
      <c r="E124" s="3">
        <v>20</v>
      </c>
      <c r="F124" s="3">
        <v>0.5</v>
      </c>
      <c r="G124" s="3">
        <f t="shared" si="6"/>
        <v>40</v>
      </c>
      <c r="H124" s="3">
        <v>251</v>
      </c>
      <c r="I124" s="4">
        <v>188.85239999999999</v>
      </c>
      <c r="J124" s="4">
        <f t="shared" si="7"/>
        <v>160.04440677966102</v>
      </c>
      <c r="K124" s="5">
        <v>35</v>
      </c>
      <c r="L124" s="5">
        <f t="shared" si="8"/>
        <v>17.5</v>
      </c>
      <c r="M124" s="4">
        <f t="shared" si="9"/>
        <v>142.54440677966102</v>
      </c>
      <c r="N124" s="3"/>
      <c r="O124" s="4">
        <f t="shared" si="11"/>
        <v>142.54440677966102</v>
      </c>
      <c r="P124" s="6">
        <f t="shared" si="10"/>
        <v>168.20239999999998</v>
      </c>
    </row>
    <row r="125" spans="1:16" x14ac:dyDescent="0.25">
      <c r="A125" s="2">
        <v>7577175</v>
      </c>
      <c r="B125" s="2" t="s">
        <v>141</v>
      </c>
      <c r="C125" s="3" t="s">
        <v>17</v>
      </c>
      <c r="D125" s="3"/>
      <c r="E125" s="3">
        <v>10</v>
      </c>
      <c r="F125" s="3">
        <v>0.5</v>
      </c>
      <c r="G125" s="3">
        <f t="shared" si="6"/>
        <v>20</v>
      </c>
      <c r="H125" s="3">
        <v>251</v>
      </c>
      <c r="I125" s="4">
        <v>188.85239999999999</v>
      </c>
      <c r="J125" s="4">
        <f t="shared" si="7"/>
        <v>160.04440677966102</v>
      </c>
      <c r="K125" s="5">
        <v>35</v>
      </c>
      <c r="L125" s="5">
        <f t="shared" si="8"/>
        <v>17.5</v>
      </c>
      <c r="M125" s="4">
        <f t="shared" si="9"/>
        <v>142.54440677966102</v>
      </c>
      <c r="N125" s="3"/>
      <c r="O125" s="4">
        <f t="shared" si="11"/>
        <v>142.54440677966102</v>
      </c>
      <c r="P125" s="6">
        <f t="shared" si="10"/>
        <v>168.20239999999998</v>
      </c>
    </row>
    <row r="126" spans="1:16" x14ac:dyDescent="0.25">
      <c r="A126" s="2">
        <v>7577184</v>
      </c>
      <c r="B126" s="2" t="s">
        <v>142</v>
      </c>
      <c r="C126" s="3" t="s">
        <v>17</v>
      </c>
      <c r="D126" s="3"/>
      <c r="E126" s="3">
        <v>20</v>
      </c>
      <c r="F126" s="3">
        <v>1</v>
      </c>
      <c r="G126" s="3">
        <f t="shared" si="6"/>
        <v>20</v>
      </c>
      <c r="H126" s="3">
        <v>465</v>
      </c>
      <c r="I126" s="4">
        <v>361.02600000000001</v>
      </c>
      <c r="J126" s="4">
        <f t="shared" si="7"/>
        <v>305.95423728813563</v>
      </c>
      <c r="K126" s="5">
        <v>45</v>
      </c>
      <c r="L126" s="5">
        <f t="shared" si="8"/>
        <v>45</v>
      </c>
      <c r="M126" s="4">
        <f t="shared" si="9"/>
        <v>260.95423728813563</v>
      </c>
      <c r="N126" s="3"/>
      <c r="O126" s="4">
        <f t="shared" si="11"/>
        <v>260.95423728813563</v>
      </c>
      <c r="P126" s="6">
        <f t="shared" si="10"/>
        <v>307.92600000000004</v>
      </c>
    </row>
    <row r="127" spans="1:16" x14ac:dyDescent="0.25">
      <c r="A127" s="2">
        <v>7577203</v>
      </c>
      <c r="B127" s="2" t="s">
        <v>143</v>
      </c>
      <c r="C127" s="3" t="s">
        <v>17</v>
      </c>
      <c r="D127" s="3"/>
      <c r="E127" s="3">
        <v>12</v>
      </c>
      <c r="F127" s="3">
        <v>3</v>
      </c>
      <c r="G127" s="3">
        <f t="shared" si="6"/>
        <v>4</v>
      </c>
      <c r="H127" s="3">
        <v>1392</v>
      </c>
      <c r="I127" s="4">
        <v>1075.32</v>
      </c>
      <c r="J127" s="4">
        <f t="shared" si="7"/>
        <v>911.28813559322032</v>
      </c>
      <c r="K127" s="5">
        <v>55</v>
      </c>
      <c r="L127" s="5">
        <f t="shared" si="8"/>
        <v>165</v>
      </c>
      <c r="M127" s="4">
        <f t="shared" si="9"/>
        <v>746.28813559322032</v>
      </c>
      <c r="N127" s="3"/>
      <c r="O127" s="4">
        <f t="shared" si="11"/>
        <v>746.28813559322032</v>
      </c>
      <c r="P127" s="6">
        <f t="shared" si="10"/>
        <v>880.61999999999989</v>
      </c>
    </row>
    <row r="128" spans="1:16" x14ac:dyDescent="0.25">
      <c r="A128" s="2">
        <v>7577234</v>
      </c>
      <c r="B128" s="2" t="s">
        <v>144</v>
      </c>
      <c r="C128" s="3" t="s">
        <v>17</v>
      </c>
      <c r="D128" s="3"/>
      <c r="E128" s="3">
        <v>20</v>
      </c>
      <c r="F128" s="3">
        <v>5</v>
      </c>
      <c r="G128" s="3">
        <f t="shared" si="6"/>
        <v>4</v>
      </c>
      <c r="H128" s="3">
        <v>2261</v>
      </c>
      <c r="I128" s="4">
        <v>1758.6058000000003</v>
      </c>
      <c r="J128" s="4">
        <f t="shared" si="7"/>
        <v>1490.3438983050851</v>
      </c>
      <c r="K128" s="5">
        <v>65</v>
      </c>
      <c r="L128" s="5">
        <f t="shared" si="8"/>
        <v>325</v>
      </c>
      <c r="M128" s="4">
        <f t="shared" si="9"/>
        <v>1165.3438983050851</v>
      </c>
      <c r="N128" s="3"/>
      <c r="O128" s="4">
        <f t="shared" si="11"/>
        <v>1165.3438983050851</v>
      </c>
      <c r="P128" s="6">
        <f t="shared" si="10"/>
        <v>1375.1058000000003</v>
      </c>
    </row>
    <row r="129" spans="1:16" x14ac:dyDescent="0.25">
      <c r="A129" s="2">
        <v>7577240</v>
      </c>
      <c r="B129" s="2" t="s">
        <v>145</v>
      </c>
      <c r="C129" s="3" t="s">
        <v>17</v>
      </c>
      <c r="D129" s="3"/>
      <c r="E129" s="3">
        <v>20</v>
      </c>
      <c r="F129" s="3">
        <v>5</v>
      </c>
      <c r="G129" s="3">
        <f t="shared" si="6"/>
        <v>4</v>
      </c>
      <c r="H129" s="3">
        <v>2261</v>
      </c>
      <c r="I129" s="4">
        <v>1758.6058000000003</v>
      </c>
      <c r="J129" s="4">
        <f t="shared" si="7"/>
        <v>1490.3438983050851</v>
      </c>
      <c r="K129" s="5">
        <v>65</v>
      </c>
      <c r="L129" s="5">
        <f t="shared" si="8"/>
        <v>325</v>
      </c>
      <c r="M129" s="4">
        <f t="shared" si="9"/>
        <v>1165.3438983050851</v>
      </c>
      <c r="N129" s="3"/>
      <c r="O129" s="4">
        <f t="shared" si="11"/>
        <v>1165.3438983050851</v>
      </c>
      <c r="P129" s="6">
        <f t="shared" si="10"/>
        <v>1375.1058000000003</v>
      </c>
    </row>
    <row r="130" spans="1:16" x14ac:dyDescent="0.25">
      <c r="A130" s="2">
        <v>7577242</v>
      </c>
      <c r="B130" s="2" t="s">
        <v>146</v>
      </c>
      <c r="C130" s="3" t="s">
        <v>22</v>
      </c>
      <c r="D130" s="3"/>
      <c r="E130" s="3">
        <v>10</v>
      </c>
      <c r="F130" s="3">
        <v>10</v>
      </c>
      <c r="G130" s="3">
        <f t="shared" ref="G130:G193" si="12">E130/F130</f>
        <v>1</v>
      </c>
      <c r="H130" s="3">
        <v>4461</v>
      </c>
      <c r="I130" s="4">
        <v>3491.1786000000006</v>
      </c>
      <c r="J130" s="4">
        <f t="shared" ref="J130:J193" si="13">I130/1.18</f>
        <v>2958.6259322033907</v>
      </c>
      <c r="K130" s="5">
        <v>65</v>
      </c>
      <c r="L130" s="5">
        <f t="shared" ref="L130:L193" si="14">(K130)*F130</f>
        <v>650</v>
      </c>
      <c r="M130" s="4">
        <f t="shared" ref="M130:M193" si="15">J130-L130</f>
        <v>2308.6259322033907</v>
      </c>
      <c r="N130" s="3"/>
      <c r="O130" s="4">
        <f t="shared" si="11"/>
        <v>2308.6259322033907</v>
      </c>
      <c r="P130" s="6">
        <f t="shared" ref="P130:P193" si="16">O130*1.18</f>
        <v>2724.1786000000006</v>
      </c>
    </row>
    <row r="131" spans="1:16" x14ac:dyDescent="0.25">
      <c r="A131" s="2">
        <v>7577251</v>
      </c>
      <c r="B131" s="2" t="s">
        <v>147</v>
      </c>
      <c r="C131" s="3" t="s">
        <v>22</v>
      </c>
      <c r="D131" s="3"/>
      <c r="E131" s="3">
        <v>7.5</v>
      </c>
      <c r="F131" s="3">
        <v>7.5</v>
      </c>
      <c r="G131" s="3">
        <f t="shared" si="12"/>
        <v>1</v>
      </c>
      <c r="H131" s="3">
        <v>3364</v>
      </c>
      <c r="I131" s="4">
        <v>2630.9844000000003</v>
      </c>
      <c r="J131" s="4">
        <f t="shared" si="13"/>
        <v>2229.6477966101697</v>
      </c>
      <c r="K131" s="5">
        <v>65</v>
      </c>
      <c r="L131" s="5">
        <f t="shared" si="14"/>
        <v>487.5</v>
      </c>
      <c r="M131" s="4">
        <f t="shared" si="15"/>
        <v>1742.1477966101697</v>
      </c>
      <c r="N131" s="3"/>
      <c r="O131" s="4">
        <f t="shared" ref="O131:O194" si="17">M131-N131</f>
        <v>1742.1477966101697</v>
      </c>
      <c r="P131" s="6">
        <f t="shared" si="16"/>
        <v>2055.7344000000003</v>
      </c>
    </row>
    <row r="132" spans="1:16" x14ac:dyDescent="0.25">
      <c r="A132" s="2">
        <v>7577256</v>
      </c>
      <c r="B132" s="2" t="s">
        <v>148</v>
      </c>
      <c r="C132" s="3" t="s">
        <v>22</v>
      </c>
      <c r="D132" s="3"/>
      <c r="E132" s="3">
        <v>15</v>
      </c>
      <c r="F132" s="3">
        <v>15</v>
      </c>
      <c r="G132" s="3">
        <f t="shared" si="12"/>
        <v>1</v>
      </c>
      <c r="H132" s="3">
        <v>6653</v>
      </c>
      <c r="I132" s="4">
        <v>5196.6583000000001</v>
      </c>
      <c r="J132" s="4">
        <f t="shared" si="13"/>
        <v>4403.9477118644072</v>
      </c>
      <c r="K132" s="5">
        <v>65</v>
      </c>
      <c r="L132" s="5">
        <f t="shared" si="14"/>
        <v>975</v>
      </c>
      <c r="M132" s="4">
        <f t="shared" si="15"/>
        <v>3428.9477118644072</v>
      </c>
      <c r="N132" s="3"/>
      <c r="O132" s="4">
        <f t="shared" si="17"/>
        <v>3428.9477118644072</v>
      </c>
      <c r="P132" s="6">
        <f t="shared" si="16"/>
        <v>4046.1583000000005</v>
      </c>
    </row>
    <row r="133" spans="1:16" x14ac:dyDescent="0.25">
      <c r="A133" s="2">
        <v>7577265</v>
      </c>
      <c r="B133" s="2" t="s">
        <v>149</v>
      </c>
      <c r="C133" s="3" t="s">
        <v>22</v>
      </c>
      <c r="D133" s="3"/>
      <c r="E133" s="3">
        <v>20</v>
      </c>
      <c r="F133" s="3">
        <v>20</v>
      </c>
      <c r="G133" s="3">
        <f t="shared" si="12"/>
        <v>1</v>
      </c>
      <c r="H133" s="3">
        <v>8853</v>
      </c>
      <c r="I133" s="4">
        <v>6878.7809999999999</v>
      </c>
      <c r="J133" s="4">
        <f t="shared" si="13"/>
        <v>5829.4754237288134</v>
      </c>
      <c r="K133" s="5">
        <v>65</v>
      </c>
      <c r="L133" s="5">
        <f t="shared" si="14"/>
        <v>1300</v>
      </c>
      <c r="M133" s="4">
        <f t="shared" si="15"/>
        <v>4529.4754237288134</v>
      </c>
      <c r="N133" s="3"/>
      <c r="O133" s="4">
        <f t="shared" si="17"/>
        <v>4529.4754237288134</v>
      </c>
      <c r="P133" s="6">
        <f t="shared" si="16"/>
        <v>5344.7809999999999</v>
      </c>
    </row>
    <row r="134" spans="1:16" x14ac:dyDescent="0.25">
      <c r="A134" s="2">
        <v>7584165</v>
      </c>
      <c r="B134" s="2" t="s">
        <v>150</v>
      </c>
      <c r="C134" s="3" t="s">
        <v>17</v>
      </c>
      <c r="D134" s="3"/>
      <c r="E134" s="3">
        <v>5</v>
      </c>
      <c r="F134" s="3">
        <v>0.25</v>
      </c>
      <c r="G134" s="3">
        <f t="shared" si="12"/>
        <v>20</v>
      </c>
      <c r="H134" s="3">
        <v>115.5</v>
      </c>
      <c r="I134" s="4">
        <v>90.575100000000006</v>
      </c>
      <c r="J134" s="4">
        <f t="shared" si="13"/>
        <v>76.758559322033904</v>
      </c>
      <c r="K134" s="5">
        <v>0</v>
      </c>
      <c r="L134" s="5">
        <f t="shared" si="14"/>
        <v>0</v>
      </c>
      <c r="M134" s="4">
        <f t="shared" si="15"/>
        <v>76.758559322033904</v>
      </c>
      <c r="N134" s="3"/>
      <c r="O134" s="4">
        <f t="shared" si="17"/>
        <v>76.758559322033904</v>
      </c>
      <c r="P134" s="6">
        <f t="shared" si="16"/>
        <v>90.575100000000006</v>
      </c>
    </row>
    <row r="135" spans="1:16" x14ac:dyDescent="0.25">
      <c r="A135" s="2">
        <v>7584175</v>
      </c>
      <c r="B135" s="2" t="s">
        <v>151</v>
      </c>
      <c r="C135" s="3" t="s">
        <v>17</v>
      </c>
      <c r="D135" s="3"/>
      <c r="E135" s="3">
        <v>10</v>
      </c>
      <c r="F135" s="3">
        <v>0.5</v>
      </c>
      <c r="G135" s="3">
        <f t="shared" si="12"/>
        <v>20</v>
      </c>
      <c r="H135" s="3">
        <v>226</v>
      </c>
      <c r="I135" s="4">
        <v>181.16159999999999</v>
      </c>
      <c r="J135" s="4">
        <f t="shared" si="13"/>
        <v>153.52677966101695</v>
      </c>
      <c r="K135" s="5">
        <v>0</v>
      </c>
      <c r="L135" s="5">
        <f t="shared" si="14"/>
        <v>0</v>
      </c>
      <c r="M135" s="4">
        <f t="shared" si="15"/>
        <v>153.52677966101695</v>
      </c>
      <c r="N135" s="3"/>
      <c r="O135" s="4">
        <f t="shared" si="17"/>
        <v>153.52677966101695</v>
      </c>
      <c r="P135" s="6">
        <f t="shared" si="16"/>
        <v>181.16159999999999</v>
      </c>
    </row>
    <row r="136" spans="1:16" x14ac:dyDescent="0.25">
      <c r="A136" s="2">
        <v>7584184</v>
      </c>
      <c r="B136" s="2" t="s">
        <v>152</v>
      </c>
      <c r="C136" s="3" t="s">
        <v>17</v>
      </c>
      <c r="D136" s="3"/>
      <c r="E136" s="3">
        <v>20</v>
      </c>
      <c r="F136" s="3">
        <v>1</v>
      </c>
      <c r="G136" s="3">
        <f t="shared" si="12"/>
        <v>20</v>
      </c>
      <c r="H136" s="3">
        <v>415</v>
      </c>
      <c r="I136" s="4">
        <v>334.82200000000006</v>
      </c>
      <c r="J136" s="4">
        <f t="shared" si="13"/>
        <v>283.74745762711871</v>
      </c>
      <c r="K136" s="5">
        <v>0</v>
      </c>
      <c r="L136" s="5">
        <f t="shared" si="14"/>
        <v>0</v>
      </c>
      <c r="M136" s="4">
        <f t="shared" si="15"/>
        <v>283.74745762711871</v>
      </c>
      <c r="N136" s="3"/>
      <c r="O136" s="4">
        <f t="shared" si="17"/>
        <v>283.74745762711871</v>
      </c>
      <c r="P136" s="6">
        <f t="shared" si="16"/>
        <v>334.82200000000006</v>
      </c>
    </row>
    <row r="137" spans="1:16" x14ac:dyDescent="0.25">
      <c r="A137" s="2">
        <v>7584185</v>
      </c>
      <c r="B137" s="2" t="s">
        <v>153</v>
      </c>
      <c r="C137" s="3" t="s">
        <v>17</v>
      </c>
      <c r="D137" s="3"/>
      <c r="E137" s="3">
        <v>10</v>
      </c>
      <c r="F137" s="3">
        <v>1</v>
      </c>
      <c r="G137" s="3">
        <f t="shared" si="12"/>
        <v>10</v>
      </c>
      <c r="H137" s="3">
        <v>415</v>
      </c>
      <c r="I137" s="4">
        <v>334.82200000000006</v>
      </c>
      <c r="J137" s="4">
        <f t="shared" si="13"/>
        <v>283.74745762711871</v>
      </c>
      <c r="K137" s="5">
        <v>0</v>
      </c>
      <c r="L137" s="5">
        <f t="shared" si="14"/>
        <v>0</v>
      </c>
      <c r="M137" s="4">
        <f t="shared" si="15"/>
        <v>283.74745762711871</v>
      </c>
      <c r="N137" s="3"/>
      <c r="O137" s="4">
        <f t="shared" si="17"/>
        <v>283.74745762711871</v>
      </c>
      <c r="P137" s="6">
        <f t="shared" si="16"/>
        <v>334.82200000000006</v>
      </c>
    </row>
    <row r="138" spans="1:16" x14ac:dyDescent="0.25">
      <c r="A138" s="2">
        <v>7600184</v>
      </c>
      <c r="B138" s="2" t="s">
        <v>154</v>
      </c>
      <c r="C138" s="3" t="s">
        <v>17</v>
      </c>
      <c r="D138" s="3"/>
      <c r="E138" s="3">
        <v>20</v>
      </c>
      <c r="F138" s="3">
        <v>1</v>
      </c>
      <c r="G138" s="3">
        <f t="shared" si="12"/>
        <v>20</v>
      </c>
      <c r="H138" s="3">
        <v>399</v>
      </c>
      <c r="I138" s="4">
        <v>332.00790000000001</v>
      </c>
      <c r="J138" s="4">
        <f t="shared" si="13"/>
        <v>281.36262711864407</v>
      </c>
      <c r="K138" s="5">
        <v>0</v>
      </c>
      <c r="L138" s="5">
        <f t="shared" si="14"/>
        <v>0</v>
      </c>
      <c r="M138" s="4">
        <f t="shared" si="15"/>
        <v>281.36262711864407</v>
      </c>
      <c r="N138" s="3"/>
      <c r="O138" s="4">
        <f t="shared" si="17"/>
        <v>281.36262711864407</v>
      </c>
      <c r="P138" s="6">
        <f t="shared" si="16"/>
        <v>332.00790000000001</v>
      </c>
    </row>
    <row r="139" spans="1:16" x14ac:dyDescent="0.25">
      <c r="A139" s="2">
        <v>7600203</v>
      </c>
      <c r="B139" s="2" t="s">
        <v>155</v>
      </c>
      <c r="C139" s="3" t="s">
        <v>17</v>
      </c>
      <c r="D139" s="3"/>
      <c r="E139" s="3">
        <v>12</v>
      </c>
      <c r="F139" s="3">
        <v>3</v>
      </c>
      <c r="G139" s="3">
        <f t="shared" si="12"/>
        <v>4</v>
      </c>
      <c r="H139" s="3">
        <v>1197</v>
      </c>
      <c r="I139" s="4">
        <v>971.72460000000012</v>
      </c>
      <c r="J139" s="4">
        <f t="shared" si="13"/>
        <v>823.49542372881376</v>
      </c>
      <c r="K139" s="5">
        <v>10</v>
      </c>
      <c r="L139" s="5">
        <f t="shared" si="14"/>
        <v>30</v>
      </c>
      <c r="M139" s="4">
        <f t="shared" si="15"/>
        <v>793.49542372881376</v>
      </c>
      <c r="N139" s="3"/>
      <c r="O139" s="4">
        <f t="shared" si="17"/>
        <v>793.49542372881376</v>
      </c>
      <c r="P139" s="6">
        <f t="shared" si="16"/>
        <v>936.32460000000015</v>
      </c>
    </row>
    <row r="140" spans="1:16" x14ac:dyDescent="0.25">
      <c r="A140" s="2">
        <v>7607184</v>
      </c>
      <c r="B140" s="2" t="s">
        <v>156</v>
      </c>
      <c r="C140" s="3" t="s">
        <v>17</v>
      </c>
      <c r="D140" s="3"/>
      <c r="E140" s="3">
        <v>20</v>
      </c>
      <c r="F140" s="3">
        <v>1</v>
      </c>
      <c r="G140" s="3">
        <f t="shared" si="12"/>
        <v>20</v>
      </c>
      <c r="H140" s="3">
        <v>315</v>
      </c>
      <c r="I140" s="4">
        <v>254.83500000000001</v>
      </c>
      <c r="J140" s="4">
        <f t="shared" si="13"/>
        <v>215.96186440677968</v>
      </c>
      <c r="K140" s="5">
        <v>0</v>
      </c>
      <c r="L140" s="5">
        <f t="shared" si="14"/>
        <v>0</v>
      </c>
      <c r="M140" s="4">
        <f t="shared" si="15"/>
        <v>215.96186440677968</v>
      </c>
      <c r="N140" s="3"/>
      <c r="O140" s="4">
        <f t="shared" si="17"/>
        <v>215.96186440677968</v>
      </c>
      <c r="P140" s="6">
        <f t="shared" si="16"/>
        <v>254.83500000000001</v>
      </c>
    </row>
    <row r="141" spans="1:16" x14ac:dyDescent="0.25">
      <c r="A141" s="2">
        <v>7607185</v>
      </c>
      <c r="B141" s="2" t="s">
        <v>157</v>
      </c>
      <c r="C141" s="3" t="s">
        <v>17</v>
      </c>
      <c r="D141" s="3"/>
      <c r="E141" s="3">
        <v>10</v>
      </c>
      <c r="F141" s="3">
        <v>1</v>
      </c>
      <c r="G141" s="3">
        <f t="shared" si="12"/>
        <v>10</v>
      </c>
      <c r="H141" s="3">
        <v>315</v>
      </c>
      <c r="I141" s="4">
        <v>254.83500000000001</v>
      </c>
      <c r="J141" s="4">
        <f t="shared" si="13"/>
        <v>215.96186440677968</v>
      </c>
      <c r="K141" s="5">
        <v>0</v>
      </c>
      <c r="L141" s="5">
        <f t="shared" si="14"/>
        <v>0</v>
      </c>
      <c r="M141" s="4">
        <f t="shared" si="15"/>
        <v>215.96186440677968</v>
      </c>
      <c r="N141" s="3"/>
      <c r="O141" s="4">
        <f t="shared" si="17"/>
        <v>215.96186440677968</v>
      </c>
      <c r="P141" s="6">
        <f t="shared" si="16"/>
        <v>254.83500000000001</v>
      </c>
    </row>
    <row r="142" spans="1:16" x14ac:dyDescent="0.25">
      <c r="A142" s="2">
        <v>7638234</v>
      </c>
      <c r="B142" s="2" t="s">
        <v>158</v>
      </c>
      <c r="C142" s="3" t="s">
        <v>17</v>
      </c>
      <c r="D142" s="3"/>
      <c r="E142" s="3">
        <v>20</v>
      </c>
      <c r="F142" s="3">
        <v>5</v>
      </c>
      <c r="G142" s="3">
        <f t="shared" si="12"/>
        <v>4</v>
      </c>
      <c r="H142" s="3">
        <v>2375</v>
      </c>
      <c r="I142" s="4">
        <v>1985.2625</v>
      </c>
      <c r="J142" s="4">
        <f t="shared" si="13"/>
        <v>1682.4258474576272</v>
      </c>
      <c r="K142" s="5">
        <v>9</v>
      </c>
      <c r="L142" s="5">
        <f t="shared" si="14"/>
        <v>45</v>
      </c>
      <c r="M142" s="4">
        <f t="shared" si="15"/>
        <v>1637.4258474576272</v>
      </c>
      <c r="N142" s="3"/>
      <c r="O142" s="4">
        <f t="shared" si="17"/>
        <v>1637.4258474576272</v>
      </c>
      <c r="P142" s="6">
        <f t="shared" si="16"/>
        <v>1932.1625000000001</v>
      </c>
    </row>
    <row r="143" spans="1:16" x14ac:dyDescent="0.25">
      <c r="A143" s="2">
        <v>7670184</v>
      </c>
      <c r="B143" s="2" t="s">
        <v>159</v>
      </c>
      <c r="C143" s="3" t="s">
        <v>17</v>
      </c>
      <c r="D143" s="3"/>
      <c r="E143" s="3">
        <v>20</v>
      </c>
      <c r="F143" s="3">
        <v>1</v>
      </c>
      <c r="G143" s="3">
        <f t="shared" si="12"/>
        <v>20</v>
      </c>
      <c r="H143" s="3">
        <v>407</v>
      </c>
      <c r="I143" s="4">
        <v>357.14249999999998</v>
      </c>
      <c r="J143" s="4">
        <f t="shared" si="13"/>
        <v>302.66313559322032</v>
      </c>
      <c r="K143" s="5">
        <v>0</v>
      </c>
      <c r="L143" s="5">
        <f t="shared" si="14"/>
        <v>0</v>
      </c>
      <c r="M143" s="4">
        <f t="shared" si="15"/>
        <v>302.66313559322032</v>
      </c>
      <c r="N143" s="3"/>
      <c r="O143" s="4">
        <f t="shared" si="17"/>
        <v>302.66313559322032</v>
      </c>
      <c r="P143" s="6">
        <f t="shared" si="16"/>
        <v>357.14249999999998</v>
      </c>
    </row>
    <row r="144" spans="1:16" x14ac:dyDescent="0.25">
      <c r="A144" s="2">
        <v>7670213</v>
      </c>
      <c r="B144" s="2" t="s">
        <v>160</v>
      </c>
      <c r="C144" s="3" t="s">
        <v>17</v>
      </c>
      <c r="D144" s="3"/>
      <c r="E144" s="3">
        <v>14</v>
      </c>
      <c r="F144" s="3">
        <v>3.5</v>
      </c>
      <c r="G144" s="3">
        <f t="shared" si="12"/>
        <v>4</v>
      </c>
      <c r="H144" s="3">
        <v>1425</v>
      </c>
      <c r="I144" s="4">
        <v>1186.1699999999998</v>
      </c>
      <c r="J144" s="4">
        <f t="shared" si="13"/>
        <v>1005.2288135593219</v>
      </c>
      <c r="K144" s="5">
        <v>0</v>
      </c>
      <c r="L144" s="5">
        <f t="shared" si="14"/>
        <v>0</v>
      </c>
      <c r="M144" s="4">
        <f t="shared" si="15"/>
        <v>1005.2288135593219</v>
      </c>
      <c r="N144" s="3"/>
      <c r="O144" s="4">
        <f t="shared" si="17"/>
        <v>1005.2288135593219</v>
      </c>
      <c r="P144" s="6">
        <f t="shared" si="16"/>
        <v>1186.1699999999998</v>
      </c>
    </row>
    <row r="145" spans="1:16" x14ac:dyDescent="0.25">
      <c r="A145" s="2">
        <v>7670234</v>
      </c>
      <c r="B145" s="2" t="s">
        <v>161</v>
      </c>
      <c r="C145" s="3" t="s">
        <v>17</v>
      </c>
      <c r="D145" s="3"/>
      <c r="E145" s="3">
        <v>20</v>
      </c>
      <c r="F145" s="3">
        <v>5</v>
      </c>
      <c r="G145" s="3">
        <f t="shared" si="12"/>
        <v>4</v>
      </c>
      <c r="H145" s="3">
        <v>2035</v>
      </c>
      <c r="I145" s="4">
        <v>1689.6605</v>
      </c>
      <c r="J145" s="4">
        <f t="shared" si="13"/>
        <v>1431.9156779661018</v>
      </c>
      <c r="K145" s="5">
        <v>10</v>
      </c>
      <c r="L145" s="5">
        <f t="shared" si="14"/>
        <v>50</v>
      </c>
      <c r="M145" s="4">
        <f t="shared" si="15"/>
        <v>1381.9156779661018</v>
      </c>
      <c r="N145" s="3"/>
      <c r="O145" s="4">
        <f t="shared" si="17"/>
        <v>1381.9156779661018</v>
      </c>
      <c r="P145" s="6">
        <f t="shared" si="16"/>
        <v>1630.6605000000002</v>
      </c>
    </row>
    <row r="146" spans="1:16" x14ac:dyDescent="0.25">
      <c r="A146" s="2">
        <v>7677184</v>
      </c>
      <c r="B146" s="2" t="s">
        <v>162</v>
      </c>
      <c r="C146" s="3" t="s">
        <v>17</v>
      </c>
      <c r="D146" s="3"/>
      <c r="E146" s="3">
        <v>20</v>
      </c>
      <c r="F146" s="3">
        <v>1</v>
      </c>
      <c r="G146" s="3">
        <f t="shared" si="12"/>
        <v>20</v>
      </c>
      <c r="H146" s="3">
        <v>465</v>
      </c>
      <c r="I146" s="4">
        <v>372</v>
      </c>
      <c r="J146" s="4">
        <f t="shared" si="13"/>
        <v>315.25423728813558</v>
      </c>
      <c r="K146" s="5">
        <v>40</v>
      </c>
      <c r="L146" s="5">
        <f t="shared" si="14"/>
        <v>40</v>
      </c>
      <c r="M146" s="4">
        <f t="shared" si="15"/>
        <v>275.25423728813558</v>
      </c>
      <c r="N146" s="3"/>
      <c r="O146" s="4">
        <f t="shared" si="17"/>
        <v>275.25423728813558</v>
      </c>
      <c r="P146" s="6">
        <f t="shared" si="16"/>
        <v>324.79999999999995</v>
      </c>
    </row>
    <row r="147" spans="1:16" x14ac:dyDescent="0.25">
      <c r="A147" s="2">
        <v>7677241</v>
      </c>
      <c r="B147" s="2" t="s">
        <v>163</v>
      </c>
      <c r="C147" s="3" t="s">
        <v>22</v>
      </c>
      <c r="D147" s="3"/>
      <c r="E147" s="3">
        <v>10</v>
      </c>
      <c r="F147" s="3">
        <v>10</v>
      </c>
      <c r="G147" s="3">
        <f t="shared" si="12"/>
        <v>1</v>
      </c>
      <c r="H147" s="3">
        <v>4550</v>
      </c>
      <c r="I147" s="4">
        <v>3640</v>
      </c>
      <c r="J147" s="4">
        <f t="shared" si="13"/>
        <v>3084.7457627118647</v>
      </c>
      <c r="K147" s="5">
        <v>50</v>
      </c>
      <c r="L147" s="5">
        <f t="shared" si="14"/>
        <v>500</v>
      </c>
      <c r="M147" s="4">
        <f t="shared" si="15"/>
        <v>2584.7457627118647</v>
      </c>
      <c r="N147" s="3"/>
      <c r="O147" s="4">
        <f t="shared" si="17"/>
        <v>2584.7457627118647</v>
      </c>
      <c r="P147" s="6">
        <f t="shared" si="16"/>
        <v>3050</v>
      </c>
    </row>
    <row r="148" spans="1:16" x14ac:dyDescent="0.25">
      <c r="A148" s="2">
        <v>7677242</v>
      </c>
      <c r="B148" s="2" t="s">
        <v>164</v>
      </c>
      <c r="C148" s="3" t="s">
        <v>22</v>
      </c>
      <c r="D148" s="3"/>
      <c r="E148" s="3">
        <v>10</v>
      </c>
      <c r="F148" s="3">
        <v>10</v>
      </c>
      <c r="G148" s="3">
        <f t="shared" si="12"/>
        <v>1</v>
      </c>
      <c r="H148" s="3">
        <v>4550</v>
      </c>
      <c r="I148" s="4">
        <v>3640</v>
      </c>
      <c r="J148" s="4">
        <f t="shared" si="13"/>
        <v>3084.7457627118647</v>
      </c>
      <c r="K148" s="5">
        <v>50</v>
      </c>
      <c r="L148" s="5">
        <f t="shared" si="14"/>
        <v>500</v>
      </c>
      <c r="M148" s="4">
        <f t="shared" si="15"/>
        <v>2584.7457627118647</v>
      </c>
      <c r="N148" s="3"/>
      <c r="O148" s="4">
        <f t="shared" si="17"/>
        <v>2584.7457627118647</v>
      </c>
      <c r="P148" s="6">
        <f t="shared" si="16"/>
        <v>3050</v>
      </c>
    </row>
    <row r="149" spans="1:16" x14ac:dyDescent="0.25">
      <c r="A149" s="2">
        <v>7677253</v>
      </c>
      <c r="B149" s="2" t="s">
        <v>165</v>
      </c>
      <c r="C149" s="3" t="s">
        <v>22</v>
      </c>
      <c r="D149" s="3"/>
      <c r="E149" s="3">
        <v>15</v>
      </c>
      <c r="F149" s="3">
        <v>15</v>
      </c>
      <c r="G149" s="3">
        <f t="shared" si="12"/>
        <v>1</v>
      </c>
      <c r="H149" s="3">
        <v>6750</v>
      </c>
      <c r="I149" s="4">
        <v>5400</v>
      </c>
      <c r="J149" s="4">
        <f t="shared" si="13"/>
        <v>4576.2711864406783</v>
      </c>
      <c r="K149" s="5">
        <v>50</v>
      </c>
      <c r="L149" s="5">
        <f t="shared" si="14"/>
        <v>750</v>
      </c>
      <c r="M149" s="4">
        <f t="shared" si="15"/>
        <v>3826.2711864406783</v>
      </c>
      <c r="N149" s="3"/>
      <c r="O149" s="4">
        <f t="shared" si="17"/>
        <v>3826.2711864406783</v>
      </c>
      <c r="P149" s="6">
        <f t="shared" si="16"/>
        <v>4515</v>
      </c>
    </row>
    <row r="150" spans="1:16" x14ac:dyDescent="0.25">
      <c r="A150" s="2">
        <v>7677254</v>
      </c>
      <c r="B150" s="2" t="s">
        <v>166</v>
      </c>
      <c r="C150" s="3" t="s">
        <v>22</v>
      </c>
      <c r="D150" s="3"/>
      <c r="E150" s="3">
        <v>18</v>
      </c>
      <c r="F150" s="3">
        <v>18</v>
      </c>
      <c r="G150" s="3">
        <f t="shared" si="12"/>
        <v>1</v>
      </c>
      <c r="H150" s="3">
        <v>8010</v>
      </c>
      <c r="I150" s="4">
        <v>6408</v>
      </c>
      <c r="J150" s="4">
        <f t="shared" si="13"/>
        <v>5430.5084745762715</v>
      </c>
      <c r="K150" s="5">
        <v>50</v>
      </c>
      <c r="L150" s="5">
        <f t="shared" si="14"/>
        <v>900</v>
      </c>
      <c r="M150" s="4">
        <f t="shared" si="15"/>
        <v>4530.5084745762715</v>
      </c>
      <c r="N150" s="3"/>
      <c r="O150" s="4">
        <f t="shared" si="17"/>
        <v>4530.5084745762715</v>
      </c>
      <c r="P150" s="6">
        <f t="shared" si="16"/>
        <v>5346</v>
      </c>
    </row>
    <row r="151" spans="1:16" x14ac:dyDescent="0.25">
      <c r="A151" s="2">
        <v>7677256</v>
      </c>
      <c r="B151" s="2" t="s">
        <v>167</v>
      </c>
      <c r="C151" s="3" t="s">
        <v>22</v>
      </c>
      <c r="D151" s="3"/>
      <c r="E151" s="3">
        <v>15</v>
      </c>
      <c r="F151" s="3">
        <v>15</v>
      </c>
      <c r="G151" s="3">
        <f t="shared" si="12"/>
        <v>1</v>
      </c>
      <c r="H151" s="3">
        <v>6750</v>
      </c>
      <c r="I151" s="4">
        <v>5400</v>
      </c>
      <c r="J151" s="4">
        <f t="shared" si="13"/>
        <v>4576.2711864406783</v>
      </c>
      <c r="K151" s="5">
        <v>50</v>
      </c>
      <c r="L151" s="5">
        <f t="shared" si="14"/>
        <v>750</v>
      </c>
      <c r="M151" s="4">
        <f t="shared" si="15"/>
        <v>3826.2711864406783</v>
      </c>
      <c r="N151" s="3"/>
      <c r="O151" s="4">
        <f t="shared" si="17"/>
        <v>3826.2711864406783</v>
      </c>
      <c r="P151" s="6">
        <f t="shared" si="16"/>
        <v>4515</v>
      </c>
    </row>
    <row r="152" spans="1:16" x14ac:dyDescent="0.25">
      <c r="A152" s="2">
        <v>7688203</v>
      </c>
      <c r="B152" s="2" t="s">
        <v>168</v>
      </c>
      <c r="C152" s="3" t="s">
        <v>17</v>
      </c>
      <c r="D152" s="3"/>
      <c r="E152" s="3">
        <v>12</v>
      </c>
      <c r="F152" s="3">
        <v>3</v>
      </c>
      <c r="G152" s="3">
        <f t="shared" si="12"/>
        <v>4</v>
      </c>
      <c r="H152" s="3">
        <v>1257</v>
      </c>
      <c r="I152" s="4">
        <v>1118.73</v>
      </c>
      <c r="J152" s="4">
        <f t="shared" si="13"/>
        <v>948.07627118644075</v>
      </c>
      <c r="K152" s="5">
        <v>10</v>
      </c>
      <c r="L152" s="5">
        <f t="shared" si="14"/>
        <v>30</v>
      </c>
      <c r="M152" s="4">
        <f t="shared" si="15"/>
        <v>918.07627118644075</v>
      </c>
      <c r="N152" s="3"/>
      <c r="O152" s="4">
        <f t="shared" si="17"/>
        <v>918.07627118644075</v>
      </c>
      <c r="P152" s="6">
        <f t="shared" si="16"/>
        <v>1083.33</v>
      </c>
    </row>
    <row r="153" spans="1:16" x14ac:dyDescent="0.25">
      <c r="A153" s="2">
        <v>7688213</v>
      </c>
      <c r="B153" s="2" t="s">
        <v>169</v>
      </c>
      <c r="C153" s="3" t="s">
        <v>17</v>
      </c>
      <c r="D153" s="3"/>
      <c r="E153" s="3">
        <v>14</v>
      </c>
      <c r="F153" s="3">
        <v>3.5</v>
      </c>
      <c r="G153" s="3">
        <f t="shared" si="12"/>
        <v>4</v>
      </c>
      <c r="H153" s="3">
        <v>1467</v>
      </c>
      <c r="I153" s="4">
        <v>1305.6300000000001</v>
      </c>
      <c r="J153" s="4">
        <f t="shared" si="13"/>
        <v>1106.4661016949153</v>
      </c>
      <c r="K153" s="5">
        <v>10</v>
      </c>
      <c r="L153" s="5">
        <f t="shared" si="14"/>
        <v>35</v>
      </c>
      <c r="M153" s="4">
        <f t="shared" si="15"/>
        <v>1071.4661016949153</v>
      </c>
      <c r="N153" s="3"/>
      <c r="O153" s="4">
        <f t="shared" si="17"/>
        <v>1071.4661016949153</v>
      </c>
      <c r="P153" s="6">
        <f t="shared" si="16"/>
        <v>1264.33</v>
      </c>
    </row>
    <row r="154" spans="1:16" x14ac:dyDescent="0.25">
      <c r="A154" s="2">
        <v>7701341</v>
      </c>
      <c r="B154" s="2" t="s">
        <v>170</v>
      </c>
      <c r="C154" s="3" t="s">
        <v>22</v>
      </c>
      <c r="D154" s="3" t="s">
        <v>171</v>
      </c>
      <c r="E154" s="3">
        <v>20</v>
      </c>
      <c r="F154" s="3">
        <v>20</v>
      </c>
      <c r="G154" s="3">
        <f t="shared" si="12"/>
        <v>1</v>
      </c>
      <c r="H154" s="3">
        <v>9954</v>
      </c>
      <c r="I154" s="4">
        <v>8188.1604000000007</v>
      </c>
      <c r="J154" s="4">
        <f t="shared" si="13"/>
        <v>6939.1189830508483</v>
      </c>
      <c r="K154" s="5">
        <v>60</v>
      </c>
      <c r="L154" s="5">
        <f t="shared" si="14"/>
        <v>1200</v>
      </c>
      <c r="M154" s="4">
        <f t="shared" si="15"/>
        <v>5739.1189830508483</v>
      </c>
      <c r="N154" s="3"/>
      <c r="O154" s="4">
        <f t="shared" si="17"/>
        <v>5739.1189830508483</v>
      </c>
      <c r="P154" s="6">
        <f t="shared" si="16"/>
        <v>6772.1604000000007</v>
      </c>
    </row>
    <row r="155" spans="1:16" x14ac:dyDescent="0.25">
      <c r="A155" s="2">
        <v>7705303</v>
      </c>
      <c r="B155" s="2" t="s">
        <v>172</v>
      </c>
      <c r="C155" s="3" t="s">
        <v>17</v>
      </c>
      <c r="D155" s="3" t="s">
        <v>171</v>
      </c>
      <c r="E155" s="3">
        <v>10</v>
      </c>
      <c r="F155" s="3">
        <v>0.5</v>
      </c>
      <c r="G155" s="3">
        <f t="shared" si="12"/>
        <v>20</v>
      </c>
      <c r="H155" s="3">
        <v>310</v>
      </c>
      <c r="I155" s="4">
        <v>232.46899999999999</v>
      </c>
      <c r="J155" s="4">
        <f t="shared" si="13"/>
        <v>197.00762711864408</v>
      </c>
      <c r="K155" s="5">
        <v>50</v>
      </c>
      <c r="L155" s="5">
        <f t="shared" si="14"/>
        <v>25</v>
      </c>
      <c r="M155" s="4">
        <f t="shared" si="15"/>
        <v>172.00762711864408</v>
      </c>
      <c r="N155" s="3"/>
      <c r="O155" s="4">
        <f t="shared" si="17"/>
        <v>172.00762711864408</v>
      </c>
      <c r="P155" s="6">
        <f t="shared" si="16"/>
        <v>202.96899999999999</v>
      </c>
    </row>
    <row r="156" spans="1:16" x14ac:dyDescent="0.25">
      <c r="A156" s="2">
        <v>7705308</v>
      </c>
      <c r="B156" s="2" t="s">
        <v>173</v>
      </c>
      <c r="C156" s="3" t="s">
        <v>17</v>
      </c>
      <c r="D156" s="3" t="s">
        <v>171</v>
      </c>
      <c r="E156" s="3">
        <v>12</v>
      </c>
      <c r="F156" s="3">
        <v>0.2</v>
      </c>
      <c r="G156" s="3">
        <f t="shared" si="12"/>
        <v>60</v>
      </c>
      <c r="H156" s="3">
        <v>138</v>
      </c>
      <c r="I156" s="4">
        <v>104.19</v>
      </c>
      <c r="J156" s="4">
        <f t="shared" si="13"/>
        <v>88.29661016949153</v>
      </c>
      <c r="K156" s="5">
        <v>50</v>
      </c>
      <c r="L156" s="5">
        <f t="shared" si="14"/>
        <v>10</v>
      </c>
      <c r="M156" s="4">
        <f t="shared" si="15"/>
        <v>78.29661016949153</v>
      </c>
      <c r="N156" s="3"/>
      <c r="O156" s="4">
        <f t="shared" si="17"/>
        <v>78.29661016949153</v>
      </c>
      <c r="P156" s="6">
        <f t="shared" si="16"/>
        <v>92.39</v>
      </c>
    </row>
    <row r="157" spans="1:16" x14ac:dyDescent="0.25">
      <c r="A157" s="2">
        <v>7705313</v>
      </c>
      <c r="B157" s="2" t="s">
        <v>174</v>
      </c>
      <c r="C157" s="3" t="s">
        <v>17</v>
      </c>
      <c r="D157" s="3" t="s">
        <v>171</v>
      </c>
      <c r="E157" s="3">
        <v>10</v>
      </c>
      <c r="F157" s="3">
        <v>1</v>
      </c>
      <c r="G157" s="3">
        <f t="shared" si="12"/>
        <v>10</v>
      </c>
      <c r="H157" s="3">
        <v>600</v>
      </c>
      <c r="I157" s="4">
        <v>458.28000000000003</v>
      </c>
      <c r="J157" s="4">
        <f t="shared" si="13"/>
        <v>388.37288135593224</v>
      </c>
      <c r="K157" s="5">
        <v>55</v>
      </c>
      <c r="L157" s="5">
        <f t="shared" si="14"/>
        <v>55</v>
      </c>
      <c r="M157" s="4">
        <f t="shared" si="15"/>
        <v>333.37288135593224</v>
      </c>
      <c r="N157" s="3"/>
      <c r="O157" s="4">
        <f t="shared" si="17"/>
        <v>333.37288135593224</v>
      </c>
      <c r="P157" s="6">
        <f t="shared" si="16"/>
        <v>393.38</v>
      </c>
    </row>
    <row r="158" spans="1:16" x14ac:dyDescent="0.25">
      <c r="A158" s="2">
        <v>7705327</v>
      </c>
      <c r="B158" s="2" t="s">
        <v>175</v>
      </c>
      <c r="C158" s="3" t="s">
        <v>17</v>
      </c>
      <c r="D158" s="3" t="s">
        <v>171</v>
      </c>
      <c r="E158" s="3">
        <v>12</v>
      </c>
      <c r="F158" s="3">
        <v>2</v>
      </c>
      <c r="G158" s="3">
        <f t="shared" si="12"/>
        <v>6</v>
      </c>
      <c r="H158" s="3">
        <v>1126</v>
      </c>
      <c r="I158" s="4">
        <v>902.03859999999997</v>
      </c>
      <c r="J158" s="4">
        <f t="shared" si="13"/>
        <v>764.4394915254237</v>
      </c>
      <c r="K158" s="5">
        <v>60</v>
      </c>
      <c r="L158" s="5">
        <f t="shared" si="14"/>
        <v>120</v>
      </c>
      <c r="M158" s="4">
        <f t="shared" si="15"/>
        <v>644.4394915254237</v>
      </c>
      <c r="N158" s="3"/>
      <c r="O158" s="4">
        <f t="shared" si="17"/>
        <v>644.4394915254237</v>
      </c>
      <c r="P158" s="6">
        <f t="shared" si="16"/>
        <v>760.43859999999995</v>
      </c>
    </row>
    <row r="159" spans="1:16" x14ac:dyDescent="0.25">
      <c r="A159" s="2">
        <v>7705337</v>
      </c>
      <c r="B159" s="2" t="s">
        <v>176</v>
      </c>
      <c r="C159" s="3" t="s">
        <v>17</v>
      </c>
      <c r="D159" s="3" t="s">
        <v>171</v>
      </c>
      <c r="E159" s="3">
        <v>12</v>
      </c>
      <c r="F159" s="3">
        <v>3</v>
      </c>
      <c r="G159" s="3">
        <f t="shared" si="12"/>
        <v>4</v>
      </c>
      <c r="H159" s="3">
        <v>1656</v>
      </c>
      <c r="I159" s="4">
        <v>1336.3920000000001</v>
      </c>
      <c r="J159" s="4">
        <f t="shared" si="13"/>
        <v>1132.535593220339</v>
      </c>
      <c r="K159" s="5">
        <v>60</v>
      </c>
      <c r="L159" s="5">
        <f t="shared" si="14"/>
        <v>180</v>
      </c>
      <c r="M159" s="4">
        <f t="shared" si="15"/>
        <v>952.53559322033902</v>
      </c>
      <c r="N159" s="3"/>
      <c r="O159" s="4">
        <f t="shared" si="17"/>
        <v>952.53559322033902</v>
      </c>
      <c r="P159" s="6">
        <f t="shared" si="16"/>
        <v>1123.992</v>
      </c>
    </row>
    <row r="160" spans="1:16" x14ac:dyDescent="0.25">
      <c r="A160" s="2">
        <v>7705339</v>
      </c>
      <c r="B160" s="2" t="s">
        <v>177</v>
      </c>
      <c r="C160" s="3" t="s">
        <v>22</v>
      </c>
      <c r="D160" s="3" t="s">
        <v>171</v>
      </c>
      <c r="E160" s="3">
        <v>5</v>
      </c>
      <c r="F160" s="3">
        <v>5</v>
      </c>
      <c r="G160" s="3">
        <f t="shared" si="12"/>
        <v>1</v>
      </c>
      <c r="H160" s="3">
        <v>2731</v>
      </c>
      <c r="I160" s="4">
        <v>2186.9847999999997</v>
      </c>
      <c r="J160" s="4">
        <f t="shared" si="13"/>
        <v>1853.3769491525422</v>
      </c>
      <c r="K160" s="5">
        <v>60</v>
      </c>
      <c r="L160" s="5">
        <f t="shared" si="14"/>
        <v>300</v>
      </c>
      <c r="M160" s="4">
        <f t="shared" si="15"/>
        <v>1553.3769491525422</v>
      </c>
      <c r="N160" s="3"/>
      <c r="O160" s="4">
        <f t="shared" si="17"/>
        <v>1553.3769491525422</v>
      </c>
      <c r="P160" s="6">
        <f t="shared" si="16"/>
        <v>1832.9847999999997</v>
      </c>
    </row>
    <row r="161" spans="1:16" x14ac:dyDescent="0.25">
      <c r="A161" s="2">
        <v>7705341</v>
      </c>
      <c r="B161" s="2" t="s">
        <v>178</v>
      </c>
      <c r="C161" s="3" t="s">
        <v>22</v>
      </c>
      <c r="D161" s="3" t="s">
        <v>171</v>
      </c>
      <c r="E161" s="3">
        <v>20</v>
      </c>
      <c r="F161" s="3">
        <v>20</v>
      </c>
      <c r="G161" s="3">
        <f t="shared" si="12"/>
        <v>1</v>
      </c>
      <c r="H161" s="3">
        <v>10705</v>
      </c>
      <c r="I161" s="4">
        <v>8578.9869999999992</v>
      </c>
      <c r="J161" s="4">
        <f t="shared" si="13"/>
        <v>7270.327966101695</v>
      </c>
      <c r="K161" s="5">
        <v>60</v>
      </c>
      <c r="L161" s="5">
        <f t="shared" si="14"/>
        <v>1200</v>
      </c>
      <c r="M161" s="4">
        <f t="shared" si="15"/>
        <v>6070.327966101695</v>
      </c>
      <c r="N161" s="3"/>
      <c r="O161" s="4">
        <f t="shared" si="17"/>
        <v>6070.327966101695</v>
      </c>
      <c r="P161" s="6">
        <f t="shared" si="16"/>
        <v>7162.9870000000001</v>
      </c>
    </row>
    <row r="162" spans="1:16" x14ac:dyDescent="0.25">
      <c r="A162" s="2">
        <v>7722341</v>
      </c>
      <c r="B162" s="2" t="s">
        <v>179</v>
      </c>
      <c r="C162" s="3" t="s">
        <v>22</v>
      </c>
      <c r="D162" s="3" t="s">
        <v>171</v>
      </c>
      <c r="E162" s="3">
        <v>20</v>
      </c>
      <c r="F162" s="3">
        <v>20</v>
      </c>
      <c r="G162" s="3">
        <f t="shared" si="12"/>
        <v>1</v>
      </c>
      <c r="H162" s="3">
        <v>9519</v>
      </c>
      <c r="I162" s="4">
        <v>8783.1813000000002</v>
      </c>
      <c r="J162" s="4">
        <f t="shared" si="13"/>
        <v>7443.3739830508484</v>
      </c>
      <c r="K162" s="5">
        <v>54</v>
      </c>
      <c r="L162" s="5">
        <f t="shared" si="14"/>
        <v>1080</v>
      </c>
      <c r="M162" s="4">
        <f t="shared" si="15"/>
        <v>6363.3739830508484</v>
      </c>
      <c r="N162" s="3"/>
      <c r="O162" s="4">
        <f t="shared" si="17"/>
        <v>6363.3739830508484</v>
      </c>
      <c r="P162" s="6">
        <f t="shared" si="16"/>
        <v>7508.7813000000006</v>
      </c>
    </row>
    <row r="163" spans="1:16" x14ac:dyDescent="0.25">
      <c r="A163" s="2">
        <v>7723341</v>
      </c>
      <c r="B163" s="2" t="s">
        <v>180</v>
      </c>
      <c r="C163" s="3" t="s">
        <v>22</v>
      </c>
      <c r="D163" s="3" t="s">
        <v>171</v>
      </c>
      <c r="E163" s="3">
        <v>20</v>
      </c>
      <c r="F163" s="3">
        <v>20</v>
      </c>
      <c r="G163" s="3">
        <f t="shared" si="12"/>
        <v>1</v>
      </c>
      <c r="H163" s="3">
        <v>9670</v>
      </c>
      <c r="I163" s="4">
        <v>8819.0400000000009</v>
      </c>
      <c r="J163" s="4">
        <f t="shared" si="13"/>
        <v>7473.7627118644077</v>
      </c>
      <c r="K163" s="5">
        <v>65</v>
      </c>
      <c r="L163" s="5">
        <f t="shared" si="14"/>
        <v>1300</v>
      </c>
      <c r="M163" s="4">
        <f t="shared" si="15"/>
        <v>6173.7627118644077</v>
      </c>
      <c r="N163" s="3"/>
      <c r="O163" s="4">
        <f t="shared" si="17"/>
        <v>6173.7627118644077</v>
      </c>
      <c r="P163" s="6">
        <f t="shared" si="16"/>
        <v>7285.0400000000009</v>
      </c>
    </row>
    <row r="164" spans="1:16" x14ac:dyDescent="0.25">
      <c r="A164" s="2">
        <v>7727303</v>
      </c>
      <c r="B164" s="2" t="s">
        <v>181</v>
      </c>
      <c r="C164" s="3" t="s">
        <v>17</v>
      </c>
      <c r="D164" s="3" t="s">
        <v>171</v>
      </c>
      <c r="E164" s="3">
        <v>10</v>
      </c>
      <c r="F164" s="3">
        <v>0.5</v>
      </c>
      <c r="G164" s="3">
        <f t="shared" si="12"/>
        <v>20</v>
      </c>
      <c r="H164" s="3">
        <v>334</v>
      </c>
      <c r="I164" s="4">
        <v>251.66899999999998</v>
      </c>
      <c r="J164" s="4">
        <f t="shared" si="13"/>
        <v>213.27881355932203</v>
      </c>
      <c r="K164" s="5">
        <v>55</v>
      </c>
      <c r="L164" s="5">
        <f t="shared" si="14"/>
        <v>27.5</v>
      </c>
      <c r="M164" s="4">
        <f t="shared" si="15"/>
        <v>185.77881355932203</v>
      </c>
      <c r="N164" s="3"/>
      <c r="O164" s="4">
        <f t="shared" si="17"/>
        <v>185.77881355932203</v>
      </c>
      <c r="P164" s="6">
        <f t="shared" si="16"/>
        <v>219.21899999999999</v>
      </c>
    </row>
    <row r="165" spans="1:16" x14ac:dyDescent="0.25">
      <c r="A165" s="2">
        <v>7727313</v>
      </c>
      <c r="B165" s="2" t="s">
        <v>182</v>
      </c>
      <c r="C165" s="3" t="s">
        <v>17</v>
      </c>
      <c r="D165" s="3" t="s">
        <v>171</v>
      </c>
      <c r="E165" s="3">
        <v>10</v>
      </c>
      <c r="F165" s="3">
        <v>1</v>
      </c>
      <c r="G165" s="3">
        <f t="shared" si="12"/>
        <v>10</v>
      </c>
      <c r="H165" s="3">
        <v>614</v>
      </c>
      <c r="I165" s="4">
        <v>480.45499999999998</v>
      </c>
      <c r="J165" s="4">
        <f t="shared" si="13"/>
        <v>407.16525423728814</v>
      </c>
      <c r="K165" s="5">
        <v>55</v>
      </c>
      <c r="L165" s="5">
        <f t="shared" si="14"/>
        <v>55</v>
      </c>
      <c r="M165" s="4">
        <f t="shared" si="15"/>
        <v>352.16525423728814</v>
      </c>
      <c r="N165" s="3"/>
      <c r="O165" s="4">
        <f t="shared" si="17"/>
        <v>352.16525423728814</v>
      </c>
      <c r="P165" s="6">
        <f t="shared" si="16"/>
        <v>415.55500000000001</v>
      </c>
    </row>
    <row r="166" spans="1:16" x14ac:dyDescent="0.25">
      <c r="A166" s="2">
        <v>7727327</v>
      </c>
      <c r="B166" s="2" t="s">
        <v>183</v>
      </c>
      <c r="C166" s="3" t="s">
        <v>17</v>
      </c>
      <c r="D166" s="3" t="s">
        <v>171</v>
      </c>
      <c r="E166" s="3">
        <v>12</v>
      </c>
      <c r="F166" s="3">
        <v>2</v>
      </c>
      <c r="G166" s="3">
        <f t="shared" si="12"/>
        <v>6</v>
      </c>
      <c r="H166" s="3">
        <v>1215</v>
      </c>
      <c r="I166" s="4">
        <v>941.98950000000002</v>
      </c>
      <c r="J166" s="4">
        <f t="shared" si="13"/>
        <v>798.29618644067807</v>
      </c>
      <c r="K166" s="5">
        <v>55</v>
      </c>
      <c r="L166" s="5">
        <f t="shared" si="14"/>
        <v>110</v>
      </c>
      <c r="M166" s="4">
        <f t="shared" si="15"/>
        <v>688.29618644067807</v>
      </c>
      <c r="N166" s="3"/>
      <c r="O166" s="4">
        <f t="shared" si="17"/>
        <v>688.29618644067807</v>
      </c>
      <c r="P166" s="6">
        <f t="shared" si="16"/>
        <v>812.18950000000007</v>
      </c>
    </row>
    <row r="167" spans="1:16" x14ac:dyDescent="0.25">
      <c r="A167" s="2">
        <v>7727337</v>
      </c>
      <c r="B167" s="2" t="s">
        <v>184</v>
      </c>
      <c r="C167" s="3" t="s">
        <v>17</v>
      </c>
      <c r="D167" s="3" t="s">
        <v>171</v>
      </c>
      <c r="E167" s="3">
        <v>12</v>
      </c>
      <c r="F167" s="3">
        <v>3</v>
      </c>
      <c r="G167" s="3">
        <f t="shared" si="12"/>
        <v>4</v>
      </c>
      <c r="H167" s="3">
        <v>1804</v>
      </c>
      <c r="I167" s="4">
        <v>1380.9619999999998</v>
      </c>
      <c r="J167" s="4">
        <f t="shared" si="13"/>
        <v>1170.3067796610169</v>
      </c>
      <c r="K167" s="5">
        <v>55</v>
      </c>
      <c r="L167" s="5">
        <f t="shared" si="14"/>
        <v>165</v>
      </c>
      <c r="M167" s="4">
        <f t="shared" si="15"/>
        <v>1005.3067796610169</v>
      </c>
      <c r="N167" s="3"/>
      <c r="O167" s="4">
        <f t="shared" si="17"/>
        <v>1005.3067796610169</v>
      </c>
      <c r="P167" s="6">
        <f t="shared" si="16"/>
        <v>1186.2619999999999</v>
      </c>
    </row>
    <row r="168" spans="1:16" x14ac:dyDescent="0.25">
      <c r="A168" s="2">
        <v>7727341</v>
      </c>
      <c r="B168" s="2" t="s">
        <v>185</v>
      </c>
      <c r="C168" s="3" t="s">
        <v>22</v>
      </c>
      <c r="D168" s="3" t="s">
        <v>171</v>
      </c>
      <c r="E168" s="3">
        <v>20</v>
      </c>
      <c r="F168" s="3">
        <v>20</v>
      </c>
      <c r="G168" s="3">
        <f t="shared" si="12"/>
        <v>1</v>
      </c>
      <c r="H168" s="3">
        <v>10993</v>
      </c>
      <c r="I168" s="4">
        <v>9005.4656000000014</v>
      </c>
      <c r="J168" s="4">
        <f t="shared" si="13"/>
        <v>7631.7505084745781</v>
      </c>
      <c r="K168" s="5">
        <v>60</v>
      </c>
      <c r="L168" s="5">
        <f t="shared" si="14"/>
        <v>1200</v>
      </c>
      <c r="M168" s="4">
        <f t="shared" si="15"/>
        <v>6431.7505084745781</v>
      </c>
      <c r="N168" s="3"/>
      <c r="O168" s="4">
        <f t="shared" si="17"/>
        <v>6431.7505084745781</v>
      </c>
      <c r="P168" s="6">
        <f t="shared" si="16"/>
        <v>7589.4656000000014</v>
      </c>
    </row>
    <row r="169" spans="1:16" x14ac:dyDescent="0.25">
      <c r="A169" s="2">
        <v>7727343</v>
      </c>
      <c r="B169" s="2" t="s">
        <v>186</v>
      </c>
      <c r="C169" s="3" t="s">
        <v>22</v>
      </c>
      <c r="D169" s="3" t="s">
        <v>171</v>
      </c>
      <c r="E169" s="3">
        <v>7</v>
      </c>
      <c r="F169" s="3">
        <v>7</v>
      </c>
      <c r="G169" s="3">
        <f t="shared" si="12"/>
        <v>1</v>
      </c>
      <c r="H169" s="3">
        <v>3966</v>
      </c>
      <c r="I169" s="4">
        <v>3194.6129999999998</v>
      </c>
      <c r="J169" s="4">
        <f t="shared" si="13"/>
        <v>2707.2991525423727</v>
      </c>
      <c r="K169" s="5">
        <v>55</v>
      </c>
      <c r="L169" s="5">
        <f t="shared" si="14"/>
        <v>385</v>
      </c>
      <c r="M169" s="4">
        <f t="shared" si="15"/>
        <v>2322.2991525423727</v>
      </c>
      <c r="N169" s="3"/>
      <c r="O169" s="4">
        <f t="shared" si="17"/>
        <v>2322.2991525423727</v>
      </c>
      <c r="P169" s="6">
        <f t="shared" si="16"/>
        <v>2740.3129999999996</v>
      </c>
    </row>
    <row r="170" spans="1:16" x14ac:dyDescent="0.25">
      <c r="A170" s="2">
        <v>7742341</v>
      </c>
      <c r="B170" s="2" t="s">
        <v>187</v>
      </c>
      <c r="C170" s="3" t="s">
        <v>22</v>
      </c>
      <c r="D170" s="3" t="s">
        <v>171</v>
      </c>
      <c r="E170" s="3">
        <v>20</v>
      </c>
      <c r="F170" s="3">
        <v>20</v>
      </c>
      <c r="G170" s="3">
        <f t="shared" si="12"/>
        <v>1</v>
      </c>
      <c r="H170" s="3">
        <v>11196</v>
      </c>
      <c r="I170" s="4">
        <v>8756.391599999999</v>
      </c>
      <c r="J170" s="4">
        <f t="shared" si="13"/>
        <v>7420.6708474576262</v>
      </c>
      <c r="K170" s="5">
        <v>61</v>
      </c>
      <c r="L170" s="5">
        <f t="shared" si="14"/>
        <v>1220</v>
      </c>
      <c r="M170" s="4">
        <f t="shared" si="15"/>
        <v>6200.6708474576262</v>
      </c>
      <c r="N170" s="3"/>
      <c r="O170" s="4">
        <f t="shared" si="17"/>
        <v>6200.6708474576262</v>
      </c>
      <c r="P170" s="6">
        <f t="shared" si="16"/>
        <v>7316.7915999999987</v>
      </c>
    </row>
    <row r="171" spans="1:16" x14ac:dyDescent="0.25">
      <c r="A171" s="2">
        <v>7744341</v>
      </c>
      <c r="B171" s="2" t="s">
        <v>188</v>
      </c>
      <c r="C171" s="3" t="s">
        <v>22</v>
      </c>
      <c r="D171" s="3" t="s">
        <v>171</v>
      </c>
      <c r="E171" s="3">
        <v>20</v>
      </c>
      <c r="F171" s="3">
        <v>20</v>
      </c>
      <c r="G171" s="3">
        <f t="shared" si="12"/>
        <v>1</v>
      </c>
      <c r="H171" s="3">
        <v>9581</v>
      </c>
      <c r="I171" s="4">
        <v>8782.9027000000006</v>
      </c>
      <c r="J171" s="4">
        <f t="shared" si="13"/>
        <v>7443.1378813559331</v>
      </c>
      <c r="K171" s="5">
        <v>30</v>
      </c>
      <c r="L171" s="5">
        <f t="shared" si="14"/>
        <v>600</v>
      </c>
      <c r="M171" s="4">
        <f t="shared" si="15"/>
        <v>6843.1378813559331</v>
      </c>
      <c r="N171" s="3"/>
      <c r="O171" s="4">
        <f t="shared" si="17"/>
        <v>6843.1378813559331</v>
      </c>
      <c r="P171" s="6">
        <f t="shared" si="16"/>
        <v>8074.9027000000006</v>
      </c>
    </row>
    <row r="172" spans="1:16" x14ac:dyDescent="0.25">
      <c r="A172" s="2">
        <v>7849303</v>
      </c>
      <c r="B172" s="2" t="s">
        <v>189</v>
      </c>
      <c r="C172" s="3" t="s">
        <v>17</v>
      </c>
      <c r="D172" s="3" t="s">
        <v>171</v>
      </c>
      <c r="E172" s="3">
        <v>10</v>
      </c>
      <c r="F172" s="3">
        <v>0.5</v>
      </c>
      <c r="G172" s="3">
        <f t="shared" si="12"/>
        <v>20</v>
      </c>
      <c r="H172" s="3">
        <v>366</v>
      </c>
      <c r="I172" s="4">
        <v>249.02640000000002</v>
      </c>
      <c r="J172" s="4">
        <f t="shared" si="13"/>
        <v>211.03932203389834</v>
      </c>
      <c r="K172" s="5">
        <v>55</v>
      </c>
      <c r="L172" s="5">
        <f t="shared" si="14"/>
        <v>27.5</v>
      </c>
      <c r="M172" s="4">
        <f t="shared" si="15"/>
        <v>183.53932203389834</v>
      </c>
      <c r="N172" s="3"/>
      <c r="O172" s="4">
        <f t="shared" si="17"/>
        <v>183.53932203389834</v>
      </c>
      <c r="P172" s="6">
        <f t="shared" si="16"/>
        <v>216.57640000000004</v>
      </c>
    </row>
    <row r="173" spans="1:16" x14ac:dyDescent="0.25">
      <c r="A173" s="2">
        <v>7849313</v>
      </c>
      <c r="B173" s="2" t="s">
        <v>190</v>
      </c>
      <c r="C173" s="3" t="s">
        <v>17</v>
      </c>
      <c r="D173" s="3" t="s">
        <v>171</v>
      </c>
      <c r="E173" s="3">
        <v>10</v>
      </c>
      <c r="F173" s="3">
        <v>1</v>
      </c>
      <c r="G173" s="3">
        <f t="shared" si="12"/>
        <v>10</v>
      </c>
      <c r="H173" s="3">
        <v>676</v>
      </c>
      <c r="I173" s="4">
        <v>486.58480000000003</v>
      </c>
      <c r="J173" s="4">
        <f t="shared" si="13"/>
        <v>412.36000000000007</v>
      </c>
      <c r="K173" s="5">
        <v>55</v>
      </c>
      <c r="L173" s="5">
        <f t="shared" si="14"/>
        <v>55</v>
      </c>
      <c r="M173" s="4">
        <f t="shared" si="15"/>
        <v>357.36000000000007</v>
      </c>
      <c r="N173" s="3"/>
      <c r="O173" s="4">
        <f t="shared" si="17"/>
        <v>357.36000000000007</v>
      </c>
      <c r="P173" s="6">
        <f t="shared" si="16"/>
        <v>421.68480000000005</v>
      </c>
    </row>
    <row r="174" spans="1:16" x14ac:dyDescent="0.25">
      <c r="A174" s="2">
        <v>7849327</v>
      </c>
      <c r="B174" s="2" t="s">
        <v>191</v>
      </c>
      <c r="C174" s="3" t="s">
        <v>17</v>
      </c>
      <c r="D174" s="3" t="s">
        <v>171</v>
      </c>
      <c r="E174" s="3">
        <v>12</v>
      </c>
      <c r="F174" s="3">
        <v>2</v>
      </c>
      <c r="G174" s="3">
        <f t="shared" si="12"/>
        <v>6</v>
      </c>
      <c r="H174" s="3">
        <v>1376</v>
      </c>
      <c r="I174" s="4">
        <v>955.49440000000004</v>
      </c>
      <c r="J174" s="4">
        <f t="shared" si="13"/>
        <v>809.74101694915259</v>
      </c>
      <c r="K174" s="5">
        <v>55</v>
      </c>
      <c r="L174" s="5">
        <f t="shared" si="14"/>
        <v>110</v>
      </c>
      <c r="M174" s="4">
        <f t="shared" si="15"/>
        <v>699.74101694915259</v>
      </c>
      <c r="N174" s="3"/>
      <c r="O174" s="4">
        <f t="shared" si="17"/>
        <v>699.74101694915259</v>
      </c>
      <c r="P174" s="6">
        <f t="shared" si="16"/>
        <v>825.69439999999997</v>
      </c>
    </row>
    <row r="175" spans="1:16" x14ac:dyDescent="0.25">
      <c r="A175" s="2">
        <v>7849337</v>
      </c>
      <c r="B175" s="2" t="s">
        <v>192</v>
      </c>
      <c r="C175" s="3" t="s">
        <v>17</v>
      </c>
      <c r="D175" s="3" t="s">
        <v>171</v>
      </c>
      <c r="E175" s="3">
        <v>12</v>
      </c>
      <c r="F175" s="3">
        <v>3</v>
      </c>
      <c r="G175" s="3">
        <f t="shared" si="12"/>
        <v>4</v>
      </c>
      <c r="H175" s="3">
        <v>2030</v>
      </c>
      <c r="I175" s="4">
        <v>1419.7819999999999</v>
      </c>
      <c r="J175" s="4">
        <f t="shared" si="13"/>
        <v>1203.2050847457626</v>
      </c>
      <c r="K175" s="5">
        <v>55</v>
      </c>
      <c r="L175" s="5">
        <f t="shared" si="14"/>
        <v>165</v>
      </c>
      <c r="M175" s="4">
        <f t="shared" si="15"/>
        <v>1038.2050847457626</v>
      </c>
      <c r="N175" s="3"/>
      <c r="O175" s="4">
        <f t="shared" si="17"/>
        <v>1038.2050847457626</v>
      </c>
      <c r="P175" s="6">
        <f t="shared" si="16"/>
        <v>1225.0819999999999</v>
      </c>
    </row>
    <row r="176" spans="1:16" x14ac:dyDescent="0.25">
      <c r="A176" s="2">
        <v>7849339</v>
      </c>
      <c r="B176" s="2" t="s">
        <v>193</v>
      </c>
      <c r="C176" s="3" t="s">
        <v>22</v>
      </c>
      <c r="D176" s="3" t="s">
        <v>171</v>
      </c>
      <c r="E176" s="3">
        <v>5</v>
      </c>
      <c r="F176" s="3">
        <v>5</v>
      </c>
      <c r="G176" s="3">
        <f t="shared" si="12"/>
        <v>1</v>
      </c>
      <c r="H176" s="3">
        <v>3345</v>
      </c>
      <c r="I176" s="4">
        <v>2343.1725000000001</v>
      </c>
      <c r="J176" s="4">
        <f t="shared" si="13"/>
        <v>1985.7394067796613</v>
      </c>
      <c r="K176" s="5">
        <v>55</v>
      </c>
      <c r="L176" s="5">
        <f t="shared" si="14"/>
        <v>275</v>
      </c>
      <c r="M176" s="4">
        <f t="shared" si="15"/>
        <v>1710.7394067796613</v>
      </c>
      <c r="N176" s="3"/>
      <c r="O176" s="4">
        <f t="shared" si="17"/>
        <v>1710.7394067796613</v>
      </c>
      <c r="P176" s="6">
        <f t="shared" si="16"/>
        <v>2018.6725000000001</v>
      </c>
    </row>
    <row r="177" spans="1:16" x14ac:dyDescent="0.25">
      <c r="A177" s="2">
        <v>7849340</v>
      </c>
      <c r="B177" s="2" t="s">
        <v>194</v>
      </c>
      <c r="C177" s="3" t="s">
        <v>17</v>
      </c>
      <c r="D177" s="3" t="s">
        <v>171</v>
      </c>
      <c r="E177" s="3">
        <v>10</v>
      </c>
      <c r="F177" s="3">
        <v>5</v>
      </c>
      <c r="G177" s="3">
        <f t="shared" si="12"/>
        <v>2</v>
      </c>
      <c r="H177" s="3">
        <v>3345</v>
      </c>
      <c r="I177" s="4">
        <v>2343.1725000000001</v>
      </c>
      <c r="J177" s="4">
        <f t="shared" si="13"/>
        <v>1985.7394067796613</v>
      </c>
      <c r="K177" s="5">
        <v>0</v>
      </c>
      <c r="L177" s="5">
        <f t="shared" si="14"/>
        <v>0</v>
      </c>
      <c r="M177" s="4">
        <f t="shared" si="15"/>
        <v>1985.7394067796613</v>
      </c>
      <c r="N177" s="3"/>
      <c r="O177" s="4">
        <f t="shared" si="17"/>
        <v>1985.7394067796613</v>
      </c>
      <c r="P177" s="6">
        <f t="shared" si="16"/>
        <v>2343.1725000000001</v>
      </c>
    </row>
    <row r="178" spans="1:16" x14ac:dyDescent="0.25">
      <c r="A178" s="2">
        <v>7849341</v>
      </c>
      <c r="B178" s="2" t="s">
        <v>195</v>
      </c>
      <c r="C178" s="3" t="s">
        <v>22</v>
      </c>
      <c r="D178" s="3" t="s">
        <v>171</v>
      </c>
      <c r="E178" s="3">
        <v>20</v>
      </c>
      <c r="F178" s="3">
        <v>20</v>
      </c>
      <c r="G178" s="3">
        <f t="shared" si="12"/>
        <v>1</v>
      </c>
      <c r="H178" s="3">
        <v>12841</v>
      </c>
      <c r="I178" s="4">
        <v>9086.2916000000005</v>
      </c>
      <c r="J178" s="4">
        <f t="shared" si="13"/>
        <v>7700.2471186440689</v>
      </c>
      <c r="K178" s="5">
        <v>60</v>
      </c>
      <c r="L178" s="5">
        <f t="shared" si="14"/>
        <v>1200</v>
      </c>
      <c r="M178" s="4">
        <f t="shared" si="15"/>
        <v>6500.2471186440689</v>
      </c>
      <c r="N178" s="3"/>
      <c r="O178" s="4">
        <f t="shared" si="17"/>
        <v>6500.2471186440689</v>
      </c>
      <c r="P178" s="6">
        <f t="shared" si="16"/>
        <v>7670.2916000000005</v>
      </c>
    </row>
    <row r="179" spans="1:16" x14ac:dyDescent="0.25">
      <c r="A179" s="2">
        <v>7849343</v>
      </c>
      <c r="B179" s="2" t="s">
        <v>196</v>
      </c>
      <c r="C179" s="3" t="s">
        <v>22</v>
      </c>
      <c r="D179" s="3" t="s">
        <v>171</v>
      </c>
      <c r="E179" s="3">
        <v>7</v>
      </c>
      <c r="F179" s="3">
        <v>7</v>
      </c>
      <c r="G179" s="3">
        <f t="shared" si="12"/>
        <v>1</v>
      </c>
      <c r="H179" s="3">
        <v>4618</v>
      </c>
      <c r="I179" s="4">
        <v>3246.9158000000002</v>
      </c>
      <c r="J179" s="4">
        <f t="shared" si="13"/>
        <v>2751.6235593220345</v>
      </c>
      <c r="K179" s="5">
        <v>60</v>
      </c>
      <c r="L179" s="5">
        <f t="shared" si="14"/>
        <v>420</v>
      </c>
      <c r="M179" s="4">
        <f t="shared" si="15"/>
        <v>2331.6235593220345</v>
      </c>
      <c r="N179" s="3"/>
      <c r="O179" s="4">
        <f t="shared" si="17"/>
        <v>2331.6235593220345</v>
      </c>
      <c r="P179" s="6">
        <f t="shared" si="16"/>
        <v>2751.3158000000003</v>
      </c>
    </row>
    <row r="180" spans="1:16" x14ac:dyDescent="0.25">
      <c r="A180" s="2">
        <v>7849344</v>
      </c>
      <c r="B180" s="2" t="s">
        <v>197</v>
      </c>
      <c r="C180" s="3" t="s">
        <v>22</v>
      </c>
      <c r="D180" s="3" t="s">
        <v>171</v>
      </c>
      <c r="E180" s="3">
        <v>10</v>
      </c>
      <c r="F180" s="3">
        <v>10</v>
      </c>
      <c r="G180" s="3">
        <f t="shared" si="12"/>
        <v>1</v>
      </c>
      <c r="H180" s="3">
        <v>6505</v>
      </c>
      <c r="I180" s="4">
        <v>4602.2875000000004</v>
      </c>
      <c r="J180" s="4">
        <f t="shared" si="13"/>
        <v>3900.243644067797</v>
      </c>
      <c r="K180" s="5">
        <v>55</v>
      </c>
      <c r="L180" s="5">
        <f t="shared" si="14"/>
        <v>550</v>
      </c>
      <c r="M180" s="4">
        <f t="shared" si="15"/>
        <v>3350.243644067797</v>
      </c>
      <c r="N180" s="3"/>
      <c r="O180" s="4">
        <f t="shared" si="17"/>
        <v>3350.243644067797</v>
      </c>
      <c r="P180" s="6">
        <f t="shared" si="16"/>
        <v>3953.2875000000004</v>
      </c>
    </row>
    <row r="181" spans="1:16" x14ac:dyDescent="0.25">
      <c r="A181" s="2">
        <v>7903313</v>
      </c>
      <c r="B181" s="2" t="s">
        <v>198</v>
      </c>
      <c r="C181" s="3" t="s">
        <v>17</v>
      </c>
      <c r="D181" s="3" t="s">
        <v>171</v>
      </c>
      <c r="E181" s="3">
        <v>10</v>
      </c>
      <c r="F181" s="3">
        <v>1</v>
      </c>
      <c r="G181" s="3">
        <f t="shared" si="12"/>
        <v>10</v>
      </c>
      <c r="H181" s="3">
        <v>640</v>
      </c>
      <c r="I181" s="4">
        <v>448</v>
      </c>
      <c r="J181" s="4">
        <f t="shared" si="13"/>
        <v>379.66101694915255</v>
      </c>
      <c r="K181" s="5">
        <v>50</v>
      </c>
      <c r="L181" s="5">
        <f t="shared" si="14"/>
        <v>50</v>
      </c>
      <c r="M181" s="4">
        <f t="shared" si="15"/>
        <v>329.66101694915255</v>
      </c>
      <c r="N181" s="3"/>
      <c r="O181" s="4">
        <f t="shared" si="17"/>
        <v>329.66101694915255</v>
      </c>
      <c r="P181" s="6">
        <f t="shared" si="16"/>
        <v>389</v>
      </c>
    </row>
    <row r="182" spans="1:16" x14ac:dyDescent="0.25">
      <c r="A182" s="2">
        <v>214040184</v>
      </c>
      <c r="B182" s="2" t="s">
        <v>199</v>
      </c>
      <c r="C182" s="3" t="s">
        <v>17</v>
      </c>
      <c r="D182" s="3" t="s">
        <v>200</v>
      </c>
      <c r="E182" s="3">
        <v>20</v>
      </c>
      <c r="F182" s="3">
        <v>1</v>
      </c>
      <c r="G182" s="3">
        <f t="shared" si="12"/>
        <v>20</v>
      </c>
      <c r="H182" s="3">
        <v>418</v>
      </c>
      <c r="I182" s="4">
        <v>296.5292</v>
      </c>
      <c r="J182" s="4">
        <f t="shared" si="13"/>
        <v>251.29593220338984</v>
      </c>
      <c r="K182" s="5">
        <v>15</v>
      </c>
      <c r="L182" s="5">
        <f t="shared" si="14"/>
        <v>15</v>
      </c>
      <c r="M182" s="4">
        <f t="shared" si="15"/>
        <v>236.29593220338984</v>
      </c>
      <c r="N182" s="3"/>
      <c r="O182" s="4">
        <f t="shared" si="17"/>
        <v>236.29593220338984</v>
      </c>
      <c r="P182" s="6">
        <f t="shared" si="16"/>
        <v>278.82920000000001</v>
      </c>
    </row>
    <row r="183" spans="1:16" x14ac:dyDescent="0.25">
      <c r="A183" s="2">
        <v>214040234</v>
      </c>
      <c r="B183" s="2" t="s">
        <v>201</v>
      </c>
      <c r="C183" s="3" t="s">
        <v>17</v>
      </c>
      <c r="D183" s="3" t="s">
        <v>200</v>
      </c>
      <c r="E183" s="3">
        <v>20</v>
      </c>
      <c r="F183" s="3">
        <v>5</v>
      </c>
      <c r="G183" s="3">
        <f t="shared" si="12"/>
        <v>4</v>
      </c>
      <c r="H183" s="3">
        <v>2064</v>
      </c>
      <c r="I183" s="4">
        <v>1466.4719999999998</v>
      </c>
      <c r="J183" s="4">
        <f t="shared" si="13"/>
        <v>1242.772881355932</v>
      </c>
      <c r="K183" s="5">
        <v>15</v>
      </c>
      <c r="L183" s="5">
        <f t="shared" si="14"/>
        <v>75</v>
      </c>
      <c r="M183" s="4">
        <f t="shared" si="15"/>
        <v>1167.772881355932</v>
      </c>
      <c r="N183" s="3"/>
      <c r="O183" s="4">
        <f t="shared" si="17"/>
        <v>1167.772881355932</v>
      </c>
      <c r="P183" s="6">
        <f t="shared" si="16"/>
        <v>1377.9719999999998</v>
      </c>
    </row>
    <row r="184" spans="1:16" x14ac:dyDescent="0.25">
      <c r="A184" s="2">
        <v>214040242</v>
      </c>
      <c r="B184" s="2" t="s">
        <v>202</v>
      </c>
      <c r="C184" s="3" t="s">
        <v>22</v>
      </c>
      <c r="D184" s="3" t="s">
        <v>200</v>
      </c>
      <c r="E184" s="3">
        <v>10</v>
      </c>
      <c r="F184" s="3">
        <v>10</v>
      </c>
      <c r="G184" s="3">
        <f t="shared" si="12"/>
        <v>1</v>
      </c>
      <c r="H184" s="3">
        <v>4128</v>
      </c>
      <c r="I184" s="4">
        <v>2932.5312000000008</v>
      </c>
      <c r="J184" s="4">
        <f t="shared" si="13"/>
        <v>2485.1959322033908</v>
      </c>
      <c r="K184" s="5">
        <v>15</v>
      </c>
      <c r="L184" s="5">
        <f t="shared" si="14"/>
        <v>150</v>
      </c>
      <c r="M184" s="4">
        <f t="shared" si="15"/>
        <v>2335.1959322033908</v>
      </c>
      <c r="N184" s="3"/>
      <c r="O184" s="4">
        <f t="shared" si="17"/>
        <v>2335.1959322033908</v>
      </c>
      <c r="P184" s="6">
        <f t="shared" si="16"/>
        <v>2755.5312000000013</v>
      </c>
    </row>
    <row r="185" spans="1:16" x14ac:dyDescent="0.25">
      <c r="A185" s="2">
        <v>214040265</v>
      </c>
      <c r="B185" s="2" t="s">
        <v>203</v>
      </c>
      <c r="C185" s="3" t="s">
        <v>22</v>
      </c>
      <c r="D185" s="3" t="s">
        <v>200</v>
      </c>
      <c r="E185" s="3">
        <v>20</v>
      </c>
      <c r="F185" s="3">
        <v>20</v>
      </c>
      <c r="G185" s="3">
        <f t="shared" si="12"/>
        <v>1</v>
      </c>
      <c r="H185" s="3">
        <v>7824</v>
      </c>
      <c r="I185" s="4">
        <v>5698.2192000000005</v>
      </c>
      <c r="J185" s="4">
        <f t="shared" si="13"/>
        <v>4828.9993220338993</v>
      </c>
      <c r="K185" s="5">
        <v>10</v>
      </c>
      <c r="L185" s="5">
        <f t="shared" si="14"/>
        <v>200</v>
      </c>
      <c r="M185" s="4">
        <f t="shared" si="15"/>
        <v>4628.9993220338993</v>
      </c>
      <c r="N185" s="3"/>
      <c r="O185" s="4">
        <f t="shared" si="17"/>
        <v>4628.9993220338993</v>
      </c>
      <c r="P185" s="6">
        <f t="shared" si="16"/>
        <v>5462.2192000000005</v>
      </c>
    </row>
    <row r="186" spans="1:16" x14ac:dyDescent="0.25">
      <c r="A186" s="2">
        <v>220400174</v>
      </c>
      <c r="B186" s="2" t="s">
        <v>204</v>
      </c>
      <c r="C186" s="3" t="s">
        <v>17</v>
      </c>
      <c r="D186" s="3" t="s">
        <v>205</v>
      </c>
      <c r="E186" s="3">
        <v>20</v>
      </c>
      <c r="F186" s="3">
        <v>0.5</v>
      </c>
      <c r="G186" s="3">
        <f t="shared" si="12"/>
        <v>40</v>
      </c>
      <c r="H186" s="3">
        <v>262</v>
      </c>
      <c r="I186" s="4">
        <v>165.37439999999998</v>
      </c>
      <c r="J186" s="4">
        <f t="shared" si="13"/>
        <v>140.14779661016948</v>
      </c>
      <c r="K186" s="5">
        <v>0</v>
      </c>
      <c r="L186" s="5">
        <f t="shared" si="14"/>
        <v>0</v>
      </c>
      <c r="M186" s="4">
        <f t="shared" si="15"/>
        <v>140.14779661016948</v>
      </c>
      <c r="N186" s="3"/>
      <c r="O186" s="4">
        <f t="shared" si="17"/>
        <v>140.14779661016948</v>
      </c>
      <c r="P186" s="6">
        <f t="shared" si="16"/>
        <v>165.37439999999998</v>
      </c>
    </row>
    <row r="187" spans="1:16" x14ac:dyDescent="0.25">
      <c r="A187" s="2">
        <v>220400184</v>
      </c>
      <c r="B187" s="2" t="s">
        <v>206</v>
      </c>
      <c r="C187" s="3" t="s">
        <v>17</v>
      </c>
      <c r="D187" s="3" t="s">
        <v>205</v>
      </c>
      <c r="E187" s="3">
        <v>20</v>
      </c>
      <c r="F187" s="3">
        <v>1</v>
      </c>
      <c r="G187" s="3">
        <f t="shared" si="12"/>
        <v>20</v>
      </c>
      <c r="H187" s="3">
        <v>494</v>
      </c>
      <c r="I187" s="4">
        <v>303.01960000000003</v>
      </c>
      <c r="J187" s="4">
        <f t="shared" si="13"/>
        <v>256.79627118644072</v>
      </c>
      <c r="K187" s="5">
        <v>20</v>
      </c>
      <c r="L187" s="5">
        <f t="shared" si="14"/>
        <v>20</v>
      </c>
      <c r="M187" s="4">
        <f t="shared" si="15"/>
        <v>236.79627118644072</v>
      </c>
      <c r="N187" s="3"/>
      <c r="O187" s="4">
        <f t="shared" si="17"/>
        <v>236.79627118644072</v>
      </c>
      <c r="P187" s="6">
        <f t="shared" si="16"/>
        <v>279.41960000000006</v>
      </c>
    </row>
    <row r="188" spans="1:16" x14ac:dyDescent="0.25">
      <c r="A188" s="2">
        <v>220400213</v>
      </c>
      <c r="B188" s="2" t="s">
        <v>207</v>
      </c>
      <c r="C188" s="3" t="s">
        <v>17</v>
      </c>
      <c r="D188" s="3" t="s">
        <v>205</v>
      </c>
      <c r="E188" s="3">
        <v>14</v>
      </c>
      <c r="F188" s="3">
        <v>3.5</v>
      </c>
      <c r="G188" s="3">
        <f t="shared" si="12"/>
        <v>4</v>
      </c>
      <c r="H188" s="3">
        <v>1696</v>
      </c>
      <c r="I188" s="4">
        <v>1081.2</v>
      </c>
      <c r="J188" s="4">
        <f t="shared" si="13"/>
        <v>916.27118644067809</v>
      </c>
      <c r="K188" s="5">
        <v>20</v>
      </c>
      <c r="L188" s="5">
        <f t="shared" si="14"/>
        <v>70</v>
      </c>
      <c r="M188" s="4">
        <f t="shared" si="15"/>
        <v>846.27118644067809</v>
      </c>
      <c r="N188" s="3"/>
      <c r="O188" s="4">
        <f t="shared" si="17"/>
        <v>846.27118644067809</v>
      </c>
      <c r="P188" s="6">
        <f t="shared" si="16"/>
        <v>998.60000000000014</v>
      </c>
    </row>
    <row r="189" spans="1:16" x14ac:dyDescent="0.25">
      <c r="A189" s="2">
        <v>220400234</v>
      </c>
      <c r="B189" s="2" t="s">
        <v>208</v>
      </c>
      <c r="C189" s="3" t="s">
        <v>17</v>
      </c>
      <c r="D189" s="3" t="s">
        <v>205</v>
      </c>
      <c r="E189" s="3">
        <v>20</v>
      </c>
      <c r="F189" s="3">
        <v>5</v>
      </c>
      <c r="G189" s="3">
        <f t="shared" si="12"/>
        <v>4</v>
      </c>
      <c r="H189" s="3">
        <v>2415</v>
      </c>
      <c r="I189" s="4">
        <v>1498.9904999999999</v>
      </c>
      <c r="J189" s="4">
        <f t="shared" si="13"/>
        <v>1270.3309322033897</v>
      </c>
      <c r="K189" s="5">
        <v>20</v>
      </c>
      <c r="L189" s="5">
        <f t="shared" si="14"/>
        <v>100</v>
      </c>
      <c r="M189" s="4">
        <f t="shared" si="15"/>
        <v>1170.3309322033897</v>
      </c>
      <c r="N189" s="3"/>
      <c r="O189" s="4">
        <f t="shared" si="17"/>
        <v>1170.3309322033897</v>
      </c>
      <c r="P189" s="6">
        <f t="shared" si="16"/>
        <v>1380.9904999999997</v>
      </c>
    </row>
    <row r="190" spans="1:16" x14ac:dyDescent="0.25">
      <c r="A190" s="2">
        <v>229590184</v>
      </c>
      <c r="B190" s="2" t="s">
        <v>209</v>
      </c>
      <c r="C190" s="3" t="s">
        <v>17</v>
      </c>
      <c r="D190" s="3" t="s">
        <v>205</v>
      </c>
      <c r="E190" s="3">
        <v>20</v>
      </c>
      <c r="F190" s="3">
        <v>1</v>
      </c>
      <c r="G190" s="3">
        <f t="shared" si="12"/>
        <v>20</v>
      </c>
      <c r="H190" s="3">
        <v>530</v>
      </c>
      <c r="I190" s="4">
        <v>323.24700000000001</v>
      </c>
      <c r="J190" s="4">
        <f t="shared" si="13"/>
        <v>273.93813559322035</v>
      </c>
      <c r="K190" s="5">
        <v>20</v>
      </c>
      <c r="L190" s="5">
        <f t="shared" si="14"/>
        <v>20</v>
      </c>
      <c r="M190" s="4">
        <f t="shared" si="15"/>
        <v>253.93813559322035</v>
      </c>
      <c r="N190" s="3"/>
      <c r="O190" s="4">
        <f t="shared" si="17"/>
        <v>253.93813559322035</v>
      </c>
      <c r="P190" s="6">
        <f t="shared" si="16"/>
        <v>299.64699999999999</v>
      </c>
    </row>
    <row r="191" spans="1:16" x14ac:dyDescent="0.25">
      <c r="A191" s="2">
        <v>229590203</v>
      </c>
      <c r="B191" s="2" t="s">
        <v>210</v>
      </c>
      <c r="C191" s="3" t="s">
        <v>17</v>
      </c>
      <c r="D191" s="3" t="s">
        <v>205</v>
      </c>
      <c r="E191" s="3">
        <v>12</v>
      </c>
      <c r="F191" s="3">
        <v>3</v>
      </c>
      <c r="G191" s="3">
        <f t="shared" si="12"/>
        <v>4</v>
      </c>
      <c r="H191" s="3">
        <v>1535</v>
      </c>
      <c r="I191" s="4">
        <v>958.60750000000007</v>
      </c>
      <c r="J191" s="4">
        <f t="shared" si="13"/>
        <v>812.37923728813564</v>
      </c>
      <c r="K191" s="5">
        <v>20</v>
      </c>
      <c r="L191" s="5">
        <f t="shared" si="14"/>
        <v>60</v>
      </c>
      <c r="M191" s="4">
        <f t="shared" si="15"/>
        <v>752.37923728813564</v>
      </c>
      <c r="N191" s="3"/>
      <c r="O191" s="4">
        <f t="shared" si="17"/>
        <v>752.37923728813564</v>
      </c>
      <c r="P191" s="6">
        <f t="shared" si="16"/>
        <v>887.8075</v>
      </c>
    </row>
    <row r="192" spans="1:16" x14ac:dyDescent="0.25">
      <c r="A192" s="2">
        <v>229590213</v>
      </c>
      <c r="B192" s="2" t="s">
        <v>211</v>
      </c>
      <c r="C192" s="3" t="s">
        <v>17</v>
      </c>
      <c r="D192" s="3" t="s">
        <v>205</v>
      </c>
      <c r="E192" s="3">
        <v>14</v>
      </c>
      <c r="F192" s="3">
        <v>3.5</v>
      </c>
      <c r="G192" s="3">
        <f t="shared" si="12"/>
        <v>4</v>
      </c>
      <c r="H192" s="3">
        <v>1749</v>
      </c>
      <c r="I192" s="4">
        <v>1119.0101999999999</v>
      </c>
      <c r="J192" s="4">
        <f t="shared" si="13"/>
        <v>948.31372881355935</v>
      </c>
      <c r="K192" s="5">
        <v>20</v>
      </c>
      <c r="L192" s="5">
        <f t="shared" si="14"/>
        <v>70</v>
      </c>
      <c r="M192" s="4">
        <f t="shared" si="15"/>
        <v>878.31372881355935</v>
      </c>
      <c r="N192" s="3"/>
      <c r="O192" s="4">
        <f t="shared" si="17"/>
        <v>878.31372881355935</v>
      </c>
      <c r="P192" s="6">
        <f t="shared" si="16"/>
        <v>1036.4102</v>
      </c>
    </row>
    <row r="193" spans="1:16" x14ac:dyDescent="0.25">
      <c r="A193" s="2">
        <v>229590234</v>
      </c>
      <c r="B193" s="2" t="s">
        <v>212</v>
      </c>
      <c r="C193" s="3" t="s">
        <v>17</v>
      </c>
      <c r="D193" s="3" t="s">
        <v>205</v>
      </c>
      <c r="E193" s="3">
        <v>20</v>
      </c>
      <c r="F193" s="3">
        <v>5</v>
      </c>
      <c r="G193" s="3">
        <f t="shared" si="12"/>
        <v>4</v>
      </c>
      <c r="H193" s="3">
        <v>2549</v>
      </c>
      <c r="I193" s="4">
        <v>1588.0269999999998</v>
      </c>
      <c r="J193" s="4">
        <f t="shared" si="13"/>
        <v>1345.7855932203388</v>
      </c>
      <c r="K193" s="5">
        <v>20</v>
      </c>
      <c r="L193" s="5">
        <f t="shared" si="14"/>
        <v>100</v>
      </c>
      <c r="M193" s="4">
        <f t="shared" si="15"/>
        <v>1245.7855932203388</v>
      </c>
      <c r="N193" s="3"/>
      <c r="O193" s="4">
        <f t="shared" si="17"/>
        <v>1245.7855932203388</v>
      </c>
      <c r="P193" s="6">
        <f t="shared" si="16"/>
        <v>1470.0269999999996</v>
      </c>
    </row>
    <row r="194" spans="1:16" x14ac:dyDescent="0.25">
      <c r="A194" s="2">
        <v>237250213</v>
      </c>
      <c r="B194" s="2" t="s">
        <v>213</v>
      </c>
      <c r="C194" s="3" t="s">
        <v>17</v>
      </c>
      <c r="D194" s="3" t="s">
        <v>214</v>
      </c>
      <c r="E194" s="3">
        <v>14</v>
      </c>
      <c r="F194" s="3">
        <v>3.5</v>
      </c>
      <c r="G194" s="3">
        <f t="shared" ref="G194:G257" si="18">E194/F194</f>
        <v>4</v>
      </c>
      <c r="H194" s="3">
        <v>1446</v>
      </c>
      <c r="I194" s="4">
        <v>925.00619999999992</v>
      </c>
      <c r="J194" s="4">
        <f t="shared" ref="J194:J257" si="19">I194/1.18</f>
        <v>783.90355932203386</v>
      </c>
      <c r="K194" s="5">
        <v>25</v>
      </c>
      <c r="L194" s="5">
        <f t="shared" ref="L194:L257" si="20">(K194)*F194</f>
        <v>87.5</v>
      </c>
      <c r="M194" s="4">
        <f t="shared" ref="M194:M257" si="21">J194-L194</f>
        <v>696.40355932203386</v>
      </c>
      <c r="N194" s="3"/>
      <c r="O194" s="4">
        <f t="shared" si="17"/>
        <v>696.40355932203386</v>
      </c>
      <c r="P194" s="6">
        <f t="shared" ref="P194:P257" si="22">O194*1.18</f>
        <v>821.75619999999992</v>
      </c>
    </row>
    <row r="195" spans="1:16" x14ac:dyDescent="0.25">
      <c r="A195" s="2">
        <v>249500184</v>
      </c>
      <c r="B195" s="2" t="s">
        <v>215</v>
      </c>
      <c r="C195" s="3" t="s">
        <v>17</v>
      </c>
      <c r="D195" s="3" t="s">
        <v>214</v>
      </c>
      <c r="E195" s="3">
        <v>20</v>
      </c>
      <c r="F195" s="3">
        <v>1</v>
      </c>
      <c r="G195" s="3">
        <f t="shared" si="18"/>
        <v>20</v>
      </c>
      <c r="H195" s="3">
        <v>436</v>
      </c>
      <c r="I195" s="4">
        <v>288.06519999999995</v>
      </c>
      <c r="J195" s="4">
        <f t="shared" si="19"/>
        <v>244.12305084745759</v>
      </c>
      <c r="K195" s="5">
        <v>20</v>
      </c>
      <c r="L195" s="5">
        <f t="shared" si="20"/>
        <v>20</v>
      </c>
      <c r="M195" s="4">
        <f t="shared" si="21"/>
        <v>224.12305084745759</v>
      </c>
      <c r="N195" s="3"/>
      <c r="O195" s="4">
        <f t="shared" ref="O195:O258" si="23">M195-N195</f>
        <v>224.12305084745759</v>
      </c>
      <c r="P195" s="6">
        <f t="shared" si="22"/>
        <v>264.46519999999992</v>
      </c>
    </row>
    <row r="196" spans="1:16" x14ac:dyDescent="0.25">
      <c r="A196" s="2">
        <v>249500234</v>
      </c>
      <c r="B196" s="2" t="s">
        <v>216</v>
      </c>
      <c r="C196" s="3" t="s">
        <v>17</v>
      </c>
      <c r="D196" s="3" t="s">
        <v>214</v>
      </c>
      <c r="E196" s="3">
        <v>20</v>
      </c>
      <c r="F196" s="3">
        <v>5</v>
      </c>
      <c r="G196" s="3">
        <f t="shared" si="18"/>
        <v>4</v>
      </c>
      <c r="H196" s="3">
        <v>2009</v>
      </c>
      <c r="I196" s="4">
        <v>1423.7783000000002</v>
      </c>
      <c r="J196" s="4">
        <f t="shared" si="19"/>
        <v>1206.5917796610172</v>
      </c>
      <c r="K196" s="5">
        <v>20</v>
      </c>
      <c r="L196" s="5">
        <f t="shared" si="20"/>
        <v>100</v>
      </c>
      <c r="M196" s="4">
        <f t="shared" si="21"/>
        <v>1106.5917796610172</v>
      </c>
      <c r="N196" s="3"/>
      <c r="O196" s="4">
        <f t="shared" si="23"/>
        <v>1106.5917796610172</v>
      </c>
      <c r="P196" s="6">
        <f t="shared" si="22"/>
        <v>1305.7783000000002</v>
      </c>
    </row>
    <row r="197" spans="1:16" x14ac:dyDescent="0.25">
      <c r="A197" s="2">
        <v>249500265</v>
      </c>
      <c r="B197" s="2" t="s">
        <v>217</v>
      </c>
      <c r="C197" s="3" t="s">
        <v>22</v>
      </c>
      <c r="D197" s="3" t="s">
        <v>214</v>
      </c>
      <c r="E197" s="3">
        <v>20</v>
      </c>
      <c r="F197" s="3">
        <v>20</v>
      </c>
      <c r="G197" s="3">
        <f t="shared" si="18"/>
        <v>1</v>
      </c>
      <c r="H197" s="3">
        <v>8083</v>
      </c>
      <c r="I197" s="4">
        <v>5553.0209999999997</v>
      </c>
      <c r="J197" s="4">
        <f t="shared" si="19"/>
        <v>4705.95</v>
      </c>
      <c r="K197" s="5">
        <v>20</v>
      </c>
      <c r="L197" s="5">
        <f t="shared" si="20"/>
        <v>400</v>
      </c>
      <c r="M197" s="4">
        <f t="shared" si="21"/>
        <v>4305.95</v>
      </c>
      <c r="N197" s="3"/>
      <c r="O197" s="4">
        <f t="shared" si="23"/>
        <v>4305.95</v>
      </c>
      <c r="P197" s="6">
        <f t="shared" si="22"/>
        <v>5081.0209999999997</v>
      </c>
    </row>
    <row r="198" spans="1:16" x14ac:dyDescent="0.25">
      <c r="A198" s="2">
        <v>250340174</v>
      </c>
      <c r="B198" s="2" t="s">
        <v>218</v>
      </c>
      <c r="C198" s="3" t="s">
        <v>17</v>
      </c>
      <c r="D198" s="3" t="s">
        <v>205</v>
      </c>
      <c r="E198" s="3">
        <v>20</v>
      </c>
      <c r="F198" s="3">
        <v>0.5</v>
      </c>
      <c r="G198" s="3">
        <f t="shared" si="18"/>
        <v>40</v>
      </c>
      <c r="H198" s="3">
        <v>205</v>
      </c>
      <c r="I198" s="4">
        <v>146.90299999999999</v>
      </c>
      <c r="J198" s="4">
        <f t="shared" si="19"/>
        <v>124.49406779661017</v>
      </c>
      <c r="K198" s="5">
        <v>0</v>
      </c>
      <c r="L198" s="5">
        <f t="shared" si="20"/>
        <v>0</v>
      </c>
      <c r="M198" s="4">
        <f t="shared" si="21"/>
        <v>124.49406779661017</v>
      </c>
      <c r="N198" s="3"/>
      <c r="O198" s="4">
        <f t="shared" si="23"/>
        <v>124.49406779661017</v>
      </c>
      <c r="P198" s="6">
        <f t="shared" si="22"/>
        <v>146.90299999999999</v>
      </c>
    </row>
    <row r="199" spans="1:16" x14ac:dyDescent="0.25">
      <c r="A199" s="2">
        <v>250340175</v>
      </c>
      <c r="B199" s="2" t="s">
        <v>219</v>
      </c>
      <c r="C199" s="3" t="s">
        <v>17</v>
      </c>
      <c r="D199" s="3" t="s">
        <v>205</v>
      </c>
      <c r="E199" s="3">
        <v>10</v>
      </c>
      <c r="F199" s="3">
        <v>0.5</v>
      </c>
      <c r="G199" s="3">
        <f t="shared" si="18"/>
        <v>20</v>
      </c>
      <c r="H199" s="3">
        <v>205</v>
      </c>
      <c r="I199" s="4">
        <v>146.90299999999999</v>
      </c>
      <c r="J199" s="4">
        <f t="shared" si="19"/>
        <v>124.49406779661017</v>
      </c>
      <c r="K199" s="5">
        <v>10</v>
      </c>
      <c r="L199" s="5">
        <f t="shared" si="20"/>
        <v>5</v>
      </c>
      <c r="M199" s="4">
        <f t="shared" si="21"/>
        <v>119.49406779661017</v>
      </c>
      <c r="N199" s="3"/>
      <c r="O199" s="4">
        <f t="shared" si="23"/>
        <v>119.49406779661017</v>
      </c>
      <c r="P199" s="6">
        <f t="shared" si="22"/>
        <v>141.00299999999999</v>
      </c>
    </row>
    <row r="200" spans="1:16" x14ac:dyDescent="0.25">
      <c r="A200" s="2">
        <v>250340184</v>
      </c>
      <c r="B200" s="2" t="s">
        <v>220</v>
      </c>
      <c r="C200" s="3" t="s">
        <v>17</v>
      </c>
      <c r="D200" s="3" t="s">
        <v>205</v>
      </c>
      <c r="E200" s="3">
        <v>20</v>
      </c>
      <c r="F200" s="3">
        <v>1</v>
      </c>
      <c r="G200" s="3">
        <f t="shared" si="18"/>
        <v>20</v>
      </c>
      <c r="H200" s="3">
        <v>368</v>
      </c>
      <c r="I200" s="4">
        <v>267.904</v>
      </c>
      <c r="J200" s="4">
        <f t="shared" si="19"/>
        <v>227.03728813559323</v>
      </c>
      <c r="K200" s="5">
        <v>15</v>
      </c>
      <c r="L200" s="5">
        <f t="shared" si="20"/>
        <v>15</v>
      </c>
      <c r="M200" s="4">
        <f t="shared" si="21"/>
        <v>212.03728813559323</v>
      </c>
      <c r="N200" s="3"/>
      <c r="O200" s="4">
        <f t="shared" si="23"/>
        <v>212.03728813559323</v>
      </c>
      <c r="P200" s="6">
        <f t="shared" si="22"/>
        <v>250.20400000000001</v>
      </c>
    </row>
    <row r="201" spans="1:16" x14ac:dyDescent="0.25">
      <c r="A201" s="2">
        <v>250340199</v>
      </c>
      <c r="B201" s="2" t="s">
        <v>221</v>
      </c>
      <c r="C201" s="3" t="s">
        <v>17</v>
      </c>
      <c r="D201" s="3" t="s">
        <v>205</v>
      </c>
      <c r="E201" s="3">
        <v>8.4</v>
      </c>
      <c r="F201" s="3">
        <v>2.1</v>
      </c>
      <c r="G201" s="3">
        <f t="shared" si="18"/>
        <v>4</v>
      </c>
      <c r="H201" s="3">
        <v>772.8</v>
      </c>
      <c r="I201" s="4">
        <v>558.73439999999994</v>
      </c>
      <c r="J201" s="4">
        <f t="shared" si="19"/>
        <v>473.50372881355929</v>
      </c>
      <c r="K201" s="5">
        <v>10</v>
      </c>
      <c r="L201" s="5">
        <f t="shared" si="20"/>
        <v>21</v>
      </c>
      <c r="M201" s="4">
        <f t="shared" si="21"/>
        <v>452.50372881355929</v>
      </c>
      <c r="N201" s="3"/>
      <c r="O201" s="4">
        <f t="shared" si="23"/>
        <v>452.50372881355929</v>
      </c>
      <c r="P201" s="6">
        <f t="shared" si="22"/>
        <v>533.95439999999996</v>
      </c>
    </row>
    <row r="202" spans="1:16" x14ac:dyDescent="0.25">
      <c r="A202" s="2">
        <v>250340203</v>
      </c>
      <c r="B202" s="2" t="s">
        <v>222</v>
      </c>
      <c r="C202" s="3" t="s">
        <v>17</v>
      </c>
      <c r="D202" s="3" t="s">
        <v>205</v>
      </c>
      <c r="E202" s="3">
        <v>12</v>
      </c>
      <c r="F202" s="3">
        <v>3</v>
      </c>
      <c r="G202" s="3">
        <f t="shared" si="18"/>
        <v>4</v>
      </c>
      <c r="H202" s="3">
        <v>1104</v>
      </c>
      <c r="I202" s="4">
        <v>799.95839999999998</v>
      </c>
      <c r="J202" s="4">
        <f t="shared" si="19"/>
        <v>677.93084745762712</v>
      </c>
      <c r="K202" s="5">
        <v>10</v>
      </c>
      <c r="L202" s="5">
        <f t="shared" si="20"/>
        <v>30</v>
      </c>
      <c r="M202" s="4">
        <f t="shared" si="21"/>
        <v>647.93084745762712</v>
      </c>
      <c r="N202" s="3"/>
      <c r="O202" s="4">
        <f t="shared" si="23"/>
        <v>647.93084745762712</v>
      </c>
      <c r="P202" s="6">
        <f t="shared" si="22"/>
        <v>764.55840000000001</v>
      </c>
    </row>
    <row r="203" spans="1:16" x14ac:dyDescent="0.25">
      <c r="A203" s="2">
        <v>250340265</v>
      </c>
      <c r="B203" s="2" t="s">
        <v>223</v>
      </c>
      <c r="C203" s="3" t="s">
        <v>22</v>
      </c>
      <c r="D203" s="3" t="s">
        <v>205</v>
      </c>
      <c r="E203" s="3">
        <v>20</v>
      </c>
      <c r="F203" s="3">
        <v>20</v>
      </c>
      <c r="G203" s="3">
        <f t="shared" si="18"/>
        <v>1</v>
      </c>
      <c r="H203" s="3">
        <v>7323</v>
      </c>
      <c r="I203" s="4">
        <v>5244.0003000000006</v>
      </c>
      <c r="J203" s="4">
        <f t="shared" si="19"/>
        <v>4444.0680508474579</v>
      </c>
      <c r="K203" s="5">
        <v>15</v>
      </c>
      <c r="L203" s="5">
        <f t="shared" si="20"/>
        <v>300</v>
      </c>
      <c r="M203" s="4">
        <f t="shared" si="21"/>
        <v>4144.0680508474579</v>
      </c>
      <c r="N203" s="3"/>
      <c r="O203" s="4">
        <f t="shared" si="23"/>
        <v>4144.0680508474579</v>
      </c>
      <c r="P203" s="6">
        <f t="shared" si="22"/>
        <v>4890.0002999999997</v>
      </c>
    </row>
    <row r="204" spans="1:16" x14ac:dyDescent="0.25">
      <c r="A204" s="2">
        <v>250510174</v>
      </c>
      <c r="B204" s="2" t="s">
        <v>224</v>
      </c>
      <c r="C204" s="3" t="s">
        <v>17</v>
      </c>
      <c r="D204" s="3" t="s">
        <v>205</v>
      </c>
      <c r="E204" s="3">
        <v>20</v>
      </c>
      <c r="F204" s="3">
        <v>0.5</v>
      </c>
      <c r="G204" s="3">
        <f t="shared" si="18"/>
        <v>40</v>
      </c>
      <c r="H204" s="3">
        <v>215</v>
      </c>
      <c r="I204" s="4">
        <v>157.12199999999999</v>
      </c>
      <c r="J204" s="4">
        <f t="shared" si="19"/>
        <v>133.15423728813559</v>
      </c>
      <c r="K204" s="5">
        <v>0</v>
      </c>
      <c r="L204" s="5">
        <f t="shared" si="20"/>
        <v>0</v>
      </c>
      <c r="M204" s="4">
        <f t="shared" si="21"/>
        <v>133.15423728813559</v>
      </c>
      <c r="N204" s="3"/>
      <c r="O204" s="4">
        <f t="shared" si="23"/>
        <v>133.15423728813559</v>
      </c>
      <c r="P204" s="6">
        <f t="shared" si="22"/>
        <v>157.12199999999999</v>
      </c>
    </row>
    <row r="205" spans="1:16" x14ac:dyDescent="0.25">
      <c r="A205" s="2">
        <v>250510175</v>
      </c>
      <c r="B205" s="2" t="s">
        <v>225</v>
      </c>
      <c r="C205" s="3" t="s">
        <v>17</v>
      </c>
      <c r="D205" s="3" t="s">
        <v>205</v>
      </c>
      <c r="E205" s="3">
        <v>10</v>
      </c>
      <c r="F205" s="3">
        <v>0.5</v>
      </c>
      <c r="G205" s="3">
        <f t="shared" si="18"/>
        <v>20</v>
      </c>
      <c r="H205" s="3">
        <v>215</v>
      </c>
      <c r="I205" s="4">
        <v>157.12199999999999</v>
      </c>
      <c r="J205" s="4">
        <f t="shared" si="19"/>
        <v>133.15423728813559</v>
      </c>
      <c r="K205" s="5">
        <v>0</v>
      </c>
      <c r="L205" s="5">
        <f t="shared" si="20"/>
        <v>0</v>
      </c>
      <c r="M205" s="4">
        <f t="shared" si="21"/>
        <v>133.15423728813559</v>
      </c>
      <c r="N205" s="3"/>
      <c r="O205" s="4">
        <f t="shared" si="23"/>
        <v>133.15423728813559</v>
      </c>
      <c r="P205" s="6">
        <f t="shared" si="22"/>
        <v>157.12199999999999</v>
      </c>
    </row>
    <row r="206" spans="1:16" x14ac:dyDescent="0.25">
      <c r="A206" s="2">
        <v>250510184</v>
      </c>
      <c r="B206" s="2" t="s">
        <v>226</v>
      </c>
      <c r="C206" s="3" t="s">
        <v>17</v>
      </c>
      <c r="D206" s="3" t="s">
        <v>205</v>
      </c>
      <c r="E206" s="3">
        <v>20</v>
      </c>
      <c r="F206" s="3">
        <v>1</v>
      </c>
      <c r="G206" s="3">
        <f t="shared" si="18"/>
        <v>20</v>
      </c>
      <c r="H206" s="3">
        <v>395</v>
      </c>
      <c r="I206" s="4">
        <v>274.99900000000002</v>
      </c>
      <c r="J206" s="4">
        <f t="shared" si="19"/>
        <v>233.05000000000004</v>
      </c>
      <c r="K206" s="5">
        <v>0</v>
      </c>
      <c r="L206" s="5">
        <f t="shared" si="20"/>
        <v>0</v>
      </c>
      <c r="M206" s="4">
        <f t="shared" si="21"/>
        <v>233.05000000000004</v>
      </c>
      <c r="N206" s="3"/>
      <c r="O206" s="4">
        <f t="shared" si="23"/>
        <v>233.05000000000004</v>
      </c>
      <c r="P206" s="6">
        <f t="shared" si="22"/>
        <v>274.99900000000002</v>
      </c>
    </row>
    <row r="207" spans="1:16" x14ac:dyDescent="0.25">
      <c r="A207" s="2">
        <v>250510203</v>
      </c>
      <c r="B207" s="2" t="s">
        <v>227</v>
      </c>
      <c r="C207" s="3" t="s">
        <v>17</v>
      </c>
      <c r="D207" s="3" t="s">
        <v>205</v>
      </c>
      <c r="E207" s="3">
        <v>12</v>
      </c>
      <c r="F207" s="3">
        <v>3</v>
      </c>
      <c r="G207" s="3">
        <f t="shared" si="18"/>
        <v>4</v>
      </c>
      <c r="H207" s="3">
        <v>1185</v>
      </c>
      <c r="I207" s="4">
        <v>824.99700000000018</v>
      </c>
      <c r="J207" s="4">
        <f t="shared" si="19"/>
        <v>699.1500000000002</v>
      </c>
      <c r="K207" s="5">
        <v>0</v>
      </c>
      <c r="L207" s="5">
        <f t="shared" si="20"/>
        <v>0</v>
      </c>
      <c r="M207" s="4">
        <f t="shared" si="21"/>
        <v>699.1500000000002</v>
      </c>
      <c r="N207" s="3"/>
      <c r="O207" s="4">
        <f t="shared" si="23"/>
        <v>699.1500000000002</v>
      </c>
      <c r="P207" s="6">
        <f t="shared" si="22"/>
        <v>824.99700000000018</v>
      </c>
    </row>
    <row r="208" spans="1:16" x14ac:dyDescent="0.25">
      <c r="A208" s="2">
        <v>250510265</v>
      </c>
      <c r="B208" s="2" t="s">
        <v>228</v>
      </c>
      <c r="C208" s="3" t="s">
        <v>22</v>
      </c>
      <c r="D208" s="3" t="s">
        <v>205</v>
      </c>
      <c r="E208" s="3">
        <v>20</v>
      </c>
      <c r="F208" s="3">
        <v>20</v>
      </c>
      <c r="G208" s="3">
        <f t="shared" si="18"/>
        <v>1</v>
      </c>
      <c r="H208" s="3">
        <v>7900</v>
      </c>
      <c r="I208" s="4">
        <v>5499.9800000000005</v>
      </c>
      <c r="J208" s="4">
        <f t="shared" si="19"/>
        <v>4661.0000000000009</v>
      </c>
      <c r="K208" s="5">
        <v>0</v>
      </c>
      <c r="L208" s="5">
        <f t="shared" si="20"/>
        <v>0</v>
      </c>
      <c r="M208" s="4">
        <f t="shared" si="21"/>
        <v>4661.0000000000009</v>
      </c>
      <c r="N208" s="3"/>
      <c r="O208" s="4">
        <f t="shared" si="23"/>
        <v>4661.0000000000009</v>
      </c>
      <c r="P208" s="6">
        <f t="shared" si="22"/>
        <v>5499.9800000000005</v>
      </c>
    </row>
    <row r="209" spans="1:16" x14ac:dyDescent="0.25">
      <c r="A209" s="2">
        <v>273640184</v>
      </c>
      <c r="B209" s="2" t="s">
        <v>229</v>
      </c>
      <c r="C209" s="3" t="s">
        <v>17</v>
      </c>
      <c r="D209" s="3" t="s">
        <v>200</v>
      </c>
      <c r="E209" s="3">
        <v>20</v>
      </c>
      <c r="F209" s="3">
        <v>1</v>
      </c>
      <c r="G209" s="3">
        <f t="shared" si="18"/>
        <v>20</v>
      </c>
      <c r="H209" s="3">
        <v>399</v>
      </c>
      <c r="I209" s="4">
        <v>287.67899999999997</v>
      </c>
      <c r="J209" s="4">
        <f t="shared" si="19"/>
        <v>243.7957627118644</v>
      </c>
      <c r="K209" s="5">
        <v>20</v>
      </c>
      <c r="L209" s="5">
        <f t="shared" si="20"/>
        <v>20</v>
      </c>
      <c r="M209" s="4">
        <f t="shared" si="21"/>
        <v>223.7957627118644</v>
      </c>
      <c r="N209" s="3"/>
      <c r="O209" s="4">
        <f t="shared" si="23"/>
        <v>223.7957627118644</v>
      </c>
      <c r="P209" s="6">
        <f t="shared" si="22"/>
        <v>264.07899999999995</v>
      </c>
    </row>
    <row r="210" spans="1:16" x14ac:dyDescent="0.25">
      <c r="A210" s="2">
        <v>273640203</v>
      </c>
      <c r="B210" s="2" t="s">
        <v>230</v>
      </c>
      <c r="C210" s="3" t="s">
        <v>17</v>
      </c>
      <c r="D210" s="3" t="s">
        <v>200</v>
      </c>
      <c r="E210" s="3">
        <v>12</v>
      </c>
      <c r="F210" s="3">
        <v>3</v>
      </c>
      <c r="G210" s="3">
        <f t="shared" si="18"/>
        <v>4</v>
      </c>
      <c r="H210" s="3">
        <v>1159</v>
      </c>
      <c r="I210" s="4">
        <v>855.34199999999998</v>
      </c>
      <c r="J210" s="4">
        <f t="shared" si="19"/>
        <v>724.8661016949153</v>
      </c>
      <c r="K210" s="5">
        <v>20</v>
      </c>
      <c r="L210" s="5">
        <f t="shared" si="20"/>
        <v>60</v>
      </c>
      <c r="M210" s="4">
        <f t="shared" si="21"/>
        <v>664.8661016949153</v>
      </c>
      <c r="N210" s="3"/>
      <c r="O210" s="4">
        <f t="shared" si="23"/>
        <v>664.8661016949153</v>
      </c>
      <c r="P210" s="6">
        <f t="shared" si="22"/>
        <v>784.54200000000003</v>
      </c>
    </row>
    <row r="211" spans="1:16" x14ac:dyDescent="0.25">
      <c r="A211" s="2">
        <v>273640234</v>
      </c>
      <c r="B211" s="2" t="s">
        <v>231</v>
      </c>
      <c r="C211" s="3" t="s">
        <v>17</v>
      </c>
      <c r="D211" s="3" t="s">
        <v>200</v>
      </c>
      <c r="E211" s="3">
        <v>20</v>
      </c>
      <c r="F211" s="3">
        <v>5</v>
      </c>
      <c r="G211" s="3">
        <f t="shared" si="18"/>
        <v>4</v>
      </c>
      <c r="H211" s="3">
        <v>1930</v>
      </c>
      <c r="I211" s="4">
        <v>1421.8310000000001</v>
      </c>
      <c r="J211" s="4">
        <f t="shared" si="19"/>
        <v>1204.941525423729</v>
      </c>
      <c r="K211" s="5">
        <v>20</v>
      </c>
      <c r="L211" s="5">
        <f t="shared" si="20"/>
        <v>100</v>
      </c>
      <c r="M211" s="4">
        <f t="shared" si="21"/>
        <v>1104.941525423729</v>
      </c>
      <c r="N211" s="3"/>
      <c r="O211" s="4">
        <f t="shared" si="23"/>
        <v>1104.941525423729</v>
      </c>
      <c r="P211" s="6">
        <f t="shared" si="22"/>
        <v>1303.8310000000001</v>
      </c>
    </row>
    <row r="212" spans="1:16" x14ac:dyDescent="0.25">
      <c r="A212" s="2">
        <v>273640242</v>
      </c>
      <c r="B212" s="2" t="s">
        <v>232</v>
      </c>
      <c r="C212" s="3" t="s">
        <v>22</v>
      </c>
      <c r="D212" s="3" t="s">
        <v>200</v>
      </c>
      <c r="E212" s="3">
        <v>10</v>
      </c>
      <c r="F212" s="3">
        <v>10</v>
      </c>
      <c r="G212" s="3">
        <f t="shared" si="18"/>
        <v>1</v>
      </c>
      <c r="H212" s="3">
        <v>3860</v>
      </c>
      <c r="I212" s="4">
        <v>2843.6620000000003</v>
      </c>
      <c r="J212" s="4">
        <f t="shared" si="19"/>
        <v>2409.883050847458</v>
      </c>
      <c r="K212" s="5">
        <v>20</v>
      </c>
      <c r="L212" s="5">
        <f t="shared" si="20"/>
        <v>200</v>
      </c>
      <c r="M212" s="4">
        <f t="shared" si="21"/>
        <v>2209.883050847458</v>
      </c>
      <c r="N212" s="3"/>
      <c r="O212" s="4">
        <f t="shared" si="23"/>
        <v>2209.883050847458</v>
      </c>
      <c r="P212" s="6">
        <f t="shared" si="22"/>
        <v>2607.6620000000003</v>
      </c>
    </row>
    <row r="213" spans="1:16" x14ac:dyDescent="0.25">
      <c r="A213" s="2">
        <v>273640251</v>
      </c>
      <c r="B213" s="2" t="s">
        <v>233</v>
      </c>
      <c r="C213" s="3" t="s">
        <v>22</v>
      </c>
      <c r="D213" s="3" t="s">
        <v>200</v>
      </c>
      <c r="E213" s="3">
        <v>7.5</v>
      </c>
      <c r="F213" s="3">
        <v>7.5</v>
      </c>
      <c r="G213" s="3">
        <f t="shared" si="18"/>
        <v>1</v>
      </c>
      <c r="H213" s="3">
        <v>2899</v>
      </c>
      <c r="I213" s="4">
        <v>2140.0418</v>
      </c>
      <c r="J213" s="4">
        <f t="shared" si="19"/>
        <v>1813.5947457627119</v>
      </c>
      <c r="K213" s="5">
        <v>20</v>
      </c>
      <c r="L213" s="5">
        <f t="shared" si="20"/>
        <v>150</v>
      </c>
      <c r="M213" s="4">
        <f t="shared" si="21"/>
        <v>1663.5947457627119</v>
      </c>
      <c r="N213" s="3"/>
      <c r="O213" s="4">
        <f t="shared" si="23"/>
        <v>1663.5947457627119</v>
      </c>
      <c r="P213" s="6">
        <f t="shared" si="22"/>
        <v>1963.0418</v>
      </c>
    </row>
    <row r="214" spans="1:16" x14ac:dyDescent="0.25">
      <c r="A214" s="2">
        <v>273640256</v>
      </c>
      <c r="B214" s="2" t="s">
        <v>234</v>
      </c>
      <c r="C214" s="3" t="s">
        <v>22</v>
      </c>
      <c r="D214" s="3" t="s">
        <v>200</v>
      </c>
      <c r="E214" s="3">
        <v>15</v>
      </c>
      <c r="F214" s="3">
        <v>15</v>
      </c>
      <c r="G214" s="3">
        <f t="shared" si="18"/>
        <v>1</v>
      </c>
      <c r="H214" s="3">
        <v>5784</v>
      </c>
      <c r="I214" s="4">
        <v>4234.4663999999993</v>
      </c>
      <c r="J214" s="4">
        <f t="shared" si="19"/>
        <v>3588.5308474576268</v>
      </c>
      <c r="K214" s="5">
        <v>20</v>
      </c>
      <c r="L214" s="5">
        <f t="shared" si="20"/>
        <v>300</v>
      </c>
      <c r="M214" s="4">
        <f t="shared" si="21"/>
        <v>3288.5308474576268</v>
      </c>
      <c r="N214" s="3"/>
      <c r="O214" s="4">
        <f t="shared" si="23"/>
        <v>3288.5308474576268</v>
      </c>
      <c r="P214" s="6">
        <f t="shared" si="22"/>
        <v>3880.4663999999993</v>
      </c>
    </row>
    <row r="215" spans="1:16" x14ac:dyDescent="0.25">
      <c r="A215" s="2">
        <v>273640265</v>
      </c>
      <c r="B215" s="2" t="s">
        <v>235</v>
      </c>
      <c r="C215" s="3" t="s">
        <v>22</v>
      </c>
      <c r="D215" s="3" t="s">
        <v>200</v>
      </c>
      <c r="E215" s="3">
        <v>20</v>
      </c>
      <c r="F215" s="3">
        <v>20</v>
      </c>
      <c r="G215" s="3">
        <f t="shared" si="18"/>
        <v>1</v>
      </c>
      <c r="H215" s="3">
        <v>7710</v>
      </c>
      <c r="I215" s="4">
        <v>5639.8649999999998</v>
      </c>
      <c r="J215" s="4">
        <f t="shared" si="19"/>
        <v>4779.5466101694919</v>
      </c>
      <c r="K215" s="5">
        <v>20</v>
      </c>
      <c r="L215" s="5">
        <f t="shared" si="20"/>
        <v>400</v>
      </c>
      <c r="M215" s="4">
        <f t="shared" si="21"/>
        <v>4379.5466101694919</v>
      </c>
      <c r="N215" s="3"/>
      <c r="O215" s="4">
        <f t="shared" si="23"/>
        <v>4379.5466101694919</v>
      </c>
      <c r="P215" s="6">
        <f t="shared" si="22"/>
        <v>5167.8649999999998</v>
      </c>
    </row>
    <row r="216" spans="1:16" x14ac:dyDescent="0.25">
      <c r="A216" s="2">
        <v>273700184</v>
      </c>
      <c r="B216" s="2" t="s">
        <v>236</v>
      </c>
      <c r="C216" s="3" t="s">
        <v>22</v>
      </c>
      <c r="D216" s="3" t="s">
        <v>200</v>
      </c>
      <c r="E216" s="3">
        <v>20</v>
      </c>
      <c r="F216" s="3">
        <v>1</v>
      </c>
      <c r="G216" s="3">
        <f t="shared" si="18"/>
        <v>20</v>
      </c>
      <c r="H216" s="3">
        <v>420</v>
      </c>
      <c r="I216" s="4">
        <v>305.00400000000002</v>
      </c>
      <c r="J216" s="4">
        <f t="shared" si="19"/>
        <v>258.47796610169496</v>
      </c>
      <c r="K216" s="5">
        <v>30</v>
      </c>
      <c r="L216" s="5">
        <f t="shared" si="20"/>
        <v>30</v>
      </c>
      <c r="M216" s="4">
        <f t="shared" si="21"/>
        <v>228.47796610169496</v>
      </c>
      <c r="N216" s="3"/>
      <c r="O216" s="4">
        <f t="shared" si="23"/>
        <v>228.47796610169496</v>
      </c>
      <c r="P216" s="6">
        <f t="shared" si="22"/>
        <v>269.60400000000004</v>
      </c>
    </row>
    <row r="217" spans="1:16" x14ac:dyDescent="0.25">
      <c r="A217" s="2">
        <v>273700203</v>
      </c>
      <c r="B217" s="2" t="s">
        <v>237</v>
      </c>
      <c r="C217" s="3" t="s">
        <v>22</v>
      </c>
      <c r="D217" s="3" t="s">
        <v>200</v>
      </c>
      <c r="E217" s="3">
        <v>12</v>
      </c>
      <c r="F217" s="3">
        <v>3</v>
      </c>
      <c r="G217" s="3">
        <f t="shared" si="18"/>
        <v>4</v>
      </c>
      <c r="H217" s="3">
        <v>1225</v>
      </c>
      <c r="I217" s="4">
        <v>885.0625</v>
      </c>
      <c r="J217" s="4">
        <f t="shared" si="19"/>
        <v>750.05296610169501</v>
      </c>
      <c r="K217" s="5">
        <v>25</v>
      </c>
      <c r="L217" s="5">
        <f t="shared" si="20"/>
        <v>75</v>
      </c>
      <c r="M217" s="4">
        <f t="shared" si="21"/>
        <v>675.05296610169501</v>
      </c>
      <c r="N217" s="3"/>
      <c r="O217" s="4">
        <f t="shared" si="23"/>
        <v>675.05296610169501</v>
      </c>
      <c r="P217" s="6">
        <f t="shared" si="22"/>
        <v>796.56250000000011</v>
      </c>
    </row>
    <row r="218" spans="1:16" x14ac:dyDescent="0.25">
      <c r="A218" s="2">
        <v>273700234</v>
      </c>
      <c r="B218" s="2" t="s">
        <v>238</v>
      </c>
      <c r="C218" s="3" t="s">
        <v>22</v>
      </c>
      <c r="D218" s="3" t="s">
        <v>200</v>
      </c>
      <c r="E218" s="3">
        <v>20</v>
      </c>
      <c r="F218" s="3">
        <v>5</v>
      </c>
      <c r="G218" s="3">
        <f t="shared" si="18"/>
        <v>4</v>
      </c>
      <c r="H218" s="3">
        <v>2072</v>
      </c>
      <c r="I218" s="4">
        <v>1486.2456</v>
      </c>
      <c r="J218" s="4">
        <f t="shared" si="19"/>
        <v>1259.5301694915254</v>
      </c>
      <c r="K218" s="5">
        <v>25</v>
      </c>
      <c r="L218" s="5">
        <f t="shared" si="20"/>
        <v>125</v>
      </c>
      <c r="M218" s="4">
        <f t="shared" si="21"/>
        <v>1134.5301694915254</v>
      </c>
      <c r="N218" s="3"/>
      <c r="O218" s="4">
        <f t="shared" si="23"/>
        <v>1134.5301694915254</v>
      </c>
      <c r="P218" s="6">
        <f t="shared" si="22"/>
        <v>1338.7456</v>
      </c>
    </row>
    <row r="219" spans="1:16" x14ac:dyDescent="0.25">
      <c r="A219" s="2">
        <v>273700242</v>
      </c>
      <c r="B219" s="2" t="s">
        <v>239</v>
      </c>
      <c r="C219" s="3" t="s">
        <v>22</v>
      </c>
      <c r="D219" s="3" t="s">
        <v>200</v>
      </c>
      <c r="E219" s="3">
        <v>10</v>
      </c>
      <c r="F219" s="3">
        <v>10</v>
      </c>
      <c r="G219" s="3">
        <f t="shared" si="18"/>
        <v>1</v>
      </c>
      <c r="H219" s="3">
        <v>4143</v>
      </c>
      <c r="I219" s="4">
        <v>2999.1177000000002</v>
      </c>
      <c r="J219" s="4">
        <f t="shared" si="19"/>
        <v>2541.6251694915259</v>
      </c>
      <c r="K219" s="5">
        <v>25</v>
      </c>
      <c r="L219" s="5">
        <f t="shared" si="20"/>
        <v>250</v>
      </c>
      <c r="M219" s="4">
        <f t="shared" si="21"/>
        <v>2291.6251694915259</v>
      </c>
      <c r="N219" s="3"/>
      <c r="O219" s="4">
        <f t="shared" si="23"/>
        <v>2291.6251694915259</v>
      </c>
      <c r="P219" s="6">
        <f t="shared" si="22"/>
        <v>2704.1177000000002</v>
      </c>
    </row>
    <row r="220" spans="1:16" x14ac:dyDescent="0.25">
      <c r="A220" s="2">
        <v>273700251</v>
      </c>
      <c r="B220" s="2" t="s">
        <v>240</v>
      </c>
      <c r="C220" s="3" t="s">
        <v>22</v>
      </c>
      <c r="D220" s="3" t="s">
        <v>200</v>
      </c>
      <c r="E220" s="3">
        <v>7.5</v>
      </c>
      <c r="F220" s="3">
        <v>7.5</v>
      </c>
      <c r="G220" s="3">
        <f t="shared" si="18"/>
        <v>1</v>
      </c>
      <c r="H220" s="3">
        <v>3099</v>
      </c>
      <c r="I220" s="4">
        <v>2249.8739999999998</v>
      </c>
      <c r="J220" s="4">
        <f t="shared" si="19"/>
        <v>1906.6728813559321</v>
      </c>
      <c r="K220" s="5">
        <v>25</v>
      </c>
      <c r="L220" s="5">
        <f t="shared" si="20"/>
        <v>187.5</v>
      </c>
      <c r="M220" s="4">
        <f t="shared" si="21"/>
        <v>1719.1728813559321</v>
      </c>
      <c r="N220" s="3"/>
      <c r="O220" s="4">
        <f t="shared" si="23"/>
        <v>1719.1728813559321</v>
      </c>
      <c r="P220" s="6">
        <f t="shared" si="22"/>
        <v>2028.6239999999998</v>
      </c>
    </row>
    <row r="221" spans="1:16" x14ac:dyDescent="0.25">
      <c r="A221" s="2">
        <v>273700256</v>
      </c>
      <c r="B221" s="2" t="s">
        <v>241</v>
      </c>
      <c r="C221" s="3" t="s">
        <v>22</v>
      </c>
      <c r="D221" s="3" t="s">
        <v>200</v>
      </c>
      <c r="E221" s="3">
        <v>15</v>
      </c>
      <c r="F221" s="3">
        <v>15</v>
      </c>
      <c r="G221" s="3">
        <f t="shared" si="18"/>
        <v>1</v>
      </c>
      <c r="H221" s="3">
        <v>6190</v>
      </c>
      <c r="I221" s="4">
        <v>4370.1399999999994</v>
      </c>
      <c r="J221" s="4">
        <f t="shared" si="19"/>
        <v>3703.5084745762711</v>
      </c>
      <c r="K221" s="5">
        <v>30</v>
      </c>
      <c r="L221" s="5">
        <f t="shared" si="20"/>
        <v>450</v>
      </c>
      <c r="M221" s="4">
        <f t="shared" si="21"/>
        <v>3253.5084745762711</v>
      </c>
      <c r="N221" s="3"/>
      <c r="O221" s="4">
        <f t="shared" si="23"/>
        <v>3253.5084745762711</v>
      </c>
      <c r="P221" s="6">
        <f t="shared" si="22"/>
        <v>3839.1399999999994</v>
      </c>
    </row>
    <row r="222" spans="1:16" x14ac:dyDescent="0.25">
      <c r="A222" s="2">
        <v>273700265</v>
      </c>
      <c r="B222" s="2" t="s">
        <v>242</v>
      </c>
      <c r="C222" s="3" t="s">
        <v>22</v>
      </c>
      <c r="D222" s="3" t="s">
        <v>200</v>
      </c>
      <c r="E222" s="3">
        <v>20</v>
      </c>
      <c r="F222" s="3">
        <v>20</v>
      </c>
      <c r="G222" s="3">
        <f t="shared" si="18"/>
        <v>1</v>
      </c>
      <c r="H222" s="3">
        <v>8253</v>
      </c>
      <c r="I222" s="4">
        <v>5778.7505999999994</v>
      </c>
      <c r="J222" s="4">
        <f t="shared" si="19"/>
        <v>4897.24627118644</v>
      </c>
      <c r="K222" s="5">
        <v>30</v>
      </c>
      <c r="L222" s="5">
        <f t="shared" si="20"/>
        <v>600</v>
      </c>
      <c r="M222" s="4">
        <f t="shared" si="21"/>
        <v>4297.24627118644</v>
      </c>
      <c r="N222" s="3"/>
      <c r="O222" s="4">
        <f t="shared" si="23"/>
        <v>4297.24627118644</v>
      </c>
      <c r="P222" s="6">
        <f t="shared" si="22"/>
        <v>5070.7505999999994</v>
      </c>
    </row>
    <row r="223" spans="1:16" x14ac:dyDescent="0.25">
      <c r="A223" s="2">
        <v>273760184</v>
      </c>
      <c r="B223" s="2" t="s">
        <v>243</v>
      </c>
      <c r="C223" s="3" t="s">
        <v>17</v>
      </c>
      <c r="D223" s="3" t="s">
        <v>214</v>
      </c>
      <c r="E223" s="3">
        <v>20</v>
      </c>
      <c r="F223" s="3">
        <v>1</v>
      </c>
      <c r="G223" s="3">
        <f t="shared" si="18"/>
        <v>20</v>
      </c>
      <c r="H223" s="3">
        <v>410</v>
      </c>
      <c r="I223" s="4">
        <v>278.06199999999995</v>
      </c>
      <c r="J223" s="4">
        <f t="shared" si="19"/>
        <v>235.64576271186439</v>
      </c>
      <c r="K223" s="5">
        <v>10</v>
      </c>
      <c r="L223" s="5">
        <f t="shared" si="20"/>
        <v>10</v>
      </c>
      <c r="M223" s="4">
        <f t="shared" si="21"/>
        <v>225.64576271186439</v>
      </c>
      <c r="N223" s="3"/>
      <c r="O223" s="4">
        <f t="shared" si="23"/>
        <v>225.64576271186439</v>
      </c>
      <c r="P223" s="6">
        <f t="shared" si="22"/>
        <v>266.26199999999994</v>
      </c>
    </row>
    <row r="224" spans="1:16" x14ac:dyDescent="0.25">
      <c r="A224" s="2">
        <v>273760244</v>
      </c>
      <c r="B224" s="2" t="s">
        <v>244</v>
      </c>
      <c r="C224" s="3" t="s">
        <v>17</v>
      </c>
      <c r="D224" s="3" t="s">
        <v>214</v>
      </c>
      <c r="E224" s="3">
        <v>24</v>
      </c>
      <c r="F224" s="3">
        <v>6</v>
      </c>
      <c r="G224" s="3">
        <f t="shared" si="18"/>
        <v>4</v>
      </c>
      <c r="H224" s="3">
        <v>2460</v>
      </c>
      <c r="I224" s="4">
        <v>1658.5320000000002</v>
      </c>
      <c r="J224" s="4">
        <f t="shared" si="19"/>
        <v>1405.5355932203393</v>
      </c>
      <c r="K224" s="5">
        <v>25</v>
      </c>
      <c r="L224" s="5">
        <f t="shared" si="20"/>
        <v>150</v>
      </c>
      <c r="M224" s="4">
        <f t="shared" si="21"/>
        <v>1255.5355932203393</v>
      </c>
      <c r="N224" s="3"/>
      <c r="O224" s="4">
        <f t="shared" si="23"/>
        <v>1255.5355932203393</v>
      </c>
      <c r="P224" s="6">
        <f t="shared" si="22"/>
        <v>1481.5320000000002</v>
      </c>
    </row>
    <row r="225" spans="1:16" x14ac:dyDescent="0.25">
      <c r="A225" s="2">
        <v>273760251</v>
      </c>
      <c r="B225" s="2" t="s">
        <v>245</v>
      </c>
      <c r="C225" s="3" t="s">
        <v>22</v>
      </c>
      <c r="D225" s="3" t="s">
        <v>214</v>
      </c>
      <c r="E225" s="3">
        <v>7.5</v>
      </c>
      <c r="F225" s="3">
        <v>7.5</v>
      </c>
      <c r="G225" s="3">
        <f t="shared" si="18"/>
        <v>1</v>
      </c>
      <c r="H225" s="3">
        <v>3075</v>
      </c>
      <c r="I225" s="4">
        <v>2073.4725000000003</v>
      </c>
      <c r="J225" s="4">
        <f t="shared" si="19"/>
        <v>1757.180084745763</v>
      </c>
      <c r="K225" s="5">
        <v>25</v>
      </c>
      <c r="L225" s="5">
        <f t="shared" si="20"/>
        <v>187.5</v>
      </c>
      <c r="M225" s="4">
        <f t="shared" si="21"/>
        <v>1569.680084745763</v>
      </c>
      <c r="N225" s="3"/>
      <c r="O225" s="4">
        <f t="shared" si="23"/>
        <v>1569.680084745763</v>
      </c>
      <c r="P225" s="6">
        <f t="shared" si="22"/>
        <v>1852.2225000000003</v>
      </c>
    </row>
    <row r="226" spans="1:16" x14ac:dyDescent="0.25">
      <c r="A226" s="2">
        <v>273760252</v>
      </c>
      <c r="B226" s="2" t="s">
        <v>246</v>
      </c>
      <c r="C226" s="3" t="s">
        <v>22</v>
      </c>
      <c r="D226" s="3" t="s">
        <v>214</v>
      </c>
      <c r="E226" s="3">
        <v>8.5</v>
      </c>
      <c r="F226" s="3">
        <v>8.5</v>
      </c>
      <c r="G226" s="3">
        <f t="shared" si="18"/>
        <v>1</v>
      </c>
      <c r="H226" s="3">
        <v>3485</v>
      </c>
      <c r="I226" s="4">
        <v>2345.7535000000003</v>
      </c>
      <c r="J226" s="4">
        <f t="shared" si="19"/>
        <v>1987.9266949152545</v>
      </c>
      <c r="K226" s="5">
        <v>25</v>
      </c>
      <c r="L226" s="5">
        <f t="shared" si="20"/>
        <v>212.5</v>
      </c>
      <c r="M226" s="4">
        <f t="shared" si="21"/>
        <v>1775.4266949152545</v>
      </c>
      <c r="N226" s="3"/>
      <c r="O226" s="4">
        <f t="shared" si="23"/>
        <v>1775.4266949152545</v>
      </c>
      <c r="P226" s="6">
        <f t="shared" si="22"/>
        <v>2095.0035000000003</v>
      </c>
    </row>
    <row r="227" spans="1:16" x14ac:dyDescent="0.25">
      <c r="A227" s="2">
        <v>274730184</v>
      </c>
      <c r="B227" s="2" t="s">
        <v>247</v>
      </c>
      <c r="C227" s="3" t="s">
        <v>22</v>
      </c>
      <c r="D227" s="3" t="s">
        <v>200</v>
      </c>
      <c r="E227" s="3">
        <v>20</v>
      </c>
      <c r="F227" s="3">
        <v>1</v>
      </c>
      <c r="G227" s="3">
        <f t="shared" si="18"/>
        <v>20</v>
      </c>
      <c r="H227" s="3">
        <v>400</v>
      </c>
      <c r="I227" s="4">
        <v>298.24</v>
      </c>
      <c r="J227" s="4">
        <f t="shared" si="19"/>
        <v>252.74576271186442</v>
      </c>
      <c r="K227" s="5">
        <v>20</v>
      </c>
      <c r="L227" s="5">
        <f t="shared" si="20"/>
        <v>20</v>
      </c>
      <c r="M227" s="4">
        <f t="shared" si="21"/>
        <v>232.74576271186442</v>
      </c>
      <c r="N227" s="3"/>
      <c r="O227" s="4">
        <f t="shared" si="23"/>
        <v>232.74576271186442</v>
      </c>
      <c r="P227" s="6">
        <f t="shared" si="22"/>
        <v>274.64</v>
      </c>
    </row>
    <row r="228" spans="1:16" x14ac:dyDescent="0.25">
      <c r="A228" s="2">
        <v>274730203</v>
      </c>
      <c r="B228" s="2" t="s">
        <v>248</v>
      </c>
      <c r="C228" s="3" t="s">
        <v>22</v>
      </c>
      <c r="D228" s="3" t="s">
        <v>200</v>
      </c>
      <c r="E228" s="3">
        <v>12</v>
      </c>
      <c r="F228" s="3">
        <v>3</v>
      </c>
      <c r="G228" s="3">
        <f t="shared" si="18"/>
        <v>4</v>
      </c>
      <c r="H228" s="3">
        <v>1175</v>
      </c>
      <c r="I228" s="4">
        <v>887.125</v>
      </c>
      <c r="J228" s="4">
        <f t="shared" si="19"/>
        <v>751.80084745762713</v>
      </c>
      <c r="K228" s="5">
        <v>20</v>
      </c>
      <c r="L228" s="5">
        <f t="shared" si="20"/>
        <v>60</v>
      </c>
      <c r="M228" s="4">
        <f t="shared" si="21"/>
        <v>691.80084745762713</v>
      </c>
      <c r="N228" s="3"/>
      <c r="O228" s="4">
        <f t="shared" si="23"/>
        <v>691.80084745762713</v>
      </c>
      <c r="P228" s="6">
        <f t="shared" si="22"/>
        <v>816.32499999999993</v>
      </c>
    </row>
    <row r="229" spans="1:16" x14ac:dyDescent="0.25">
      <c r="A229" s="2">
        <v>274730234</v>
      </c>
      <c r="B229" s="2" t="s">
        <v>249</v>
      </c>
      <c r="C229" s="3" t="s">
        <v>22</v>
      </c>
      <c r="D229" s="3" t="s">
        <v>200</v>
      </c>
      <c r="E229" s="3">
        <v>20</v>
      </c>
      <c r="F229" s="3">
        <v>5</v>
      </c>
      <c r="G229" s="3">
        <f t="shared" si="18"/>
        <v>4</v>
      </c>
      <c r="H229" s="3">
        <v>1920</v>
      </c>
      <c r="I229" s="4">
        <v>1474.7520000000002</v>
      </c>
      <c r="J229" s="4">
        <f t="shared" si="19"/>
        <v>1249.7898305084748</v>
      </c>
      <c r="K229" s="5">
        <v>20</v>
      </c>
      <c r="L229" s="5">
        <f t="shared" si="20"/>
        <v>100</v>
      </c>
      <c r="M229" s="4">
        <f t="shared" si="21"/>
        <v>1149.7898305084748</v>
      </c>
      <c r="N229" s="3"/>
      <c r="O229" s="4">
        <f t="shared" si="23"/>
        <v>1149.7898305084748</v>
      </c>
      <c r="P229" s="6">
        <f t="shared" si="22"/>
        <v>1356.7520000000002</v>
      </c>
    </row>
    <row r="230" spans="1:16" x14ac:dyDescent="0.25">
      <c r="A230" s="2">
        <v>274730242</v>
      </c>
      <c r="B230" s="2" t="s">
        <v>250</v>
      </c>
      <c r="C230" s="3" t="s">
        <v>22</v>
      </c>
      <c r="D230" s="3" t="s">
        <v>200</v>
      </c>
      <c r="E230" s="3">
        <v>10</v>
      </c>
      <c r="F230" s="3">
        <v>10</v>
      </c>
      <c r="G230" s="3">
        <f t="shared" si="18"/>
        <v>1</v>
      </c>
      <c r="H230" s="3">
        <v>3850</v>
      </c>
      <c r="I230" s="4">
        <v>2890.9650000000001</v>
      </c>
      <c r="J230" s="4">
        <f t="shared" si="19"/>
        <v>2449.9703389830511</v>
      </c>
      <c r="K230" s="5">
        <v>20</v>
      </c>
      <c r="L230" s="5">
        <f t="shared" si="20"/>
        <v>200</v>
      </c>
      <c r="M230" s="4">
        <f t="shared" si="21"/>
        <v>2249.9703389830511</v>
      </c>
      <c r="N230" s="3"/>
      <c r="O230" s="4">
        <f t="shared" si="23"/>
        <v>2249.9703389830511</v>
      </c>
      <c r="P230" s="6">
        <f t="shared" si="22"/>
        <v>2654.9650000000001</v>
      </c>
    </row>
    <row r="231" spans="1:16" x14ac:dyDescent="0.25">
      <c r="A231" s="2">
        <v>274730251</v>
      </c>
      <c r="B231" s="2" t="s">
        <v>251</v>
      </c>
      <c r="C231" s="3" t="s">
        <v>22</v>
      </c>
      <c r="D231" s="3" t="s">
        <v>200</v>
      </c>
      <c r="E231" s="3">
        <v>7.5</v>
      </c>
      <c r="F231" s="3">
        <v>7.5</v>
      </c>
      <c r="G231" s="3">
        <f t="shared" si="18"/>
        <v>1</v>
      </c>
      <c r="H231" s="3">
        <v>2850</v>
      </c>
      <c r="I231" s="4">
        <v>2181.3900000000003</v>
      </c>
      <c r="J231" s="4">
        <f t="shared" si="19"/>
        <v>1848.6355932203394</v>
      </c>
      <c r="K231" s="5">
        <v>15</v>
      </c>
      <c r="L231" s="5">
        <f t="shared" si="20"/>
        <v>112.5</v>
      </c>
      <c r="M231" s="4">
        <f t="shared" si="21"/>
        <v>1736.1355932203394</v>
      </c>
      <c r="N231" s="3"/>
      <c r="O231" s="4">
        <f t="shared" si="23"/>
        <v>1736.1355932203394</v>
      </c>
      <c r="P231" s="6">
        <f t="shared" si="22"/>
        <v>2048.6400000000003</v>
      </c>
    </row>
    <row r="232" spans="1:16" x14ac:dyDescent="0.25">
      <c r="A232" s="2">
        <v>274730256</v>
      </c>
      <c r="B232" s="2" t="s">
        <v>252</v>
      </c>
      <c r="C232" s="3" t="s">
        <v>22</v>
      </c>
      <c r="D232" s="3" t="s">
        <v>200</v>
      </c>
      <c r="E232" s="3">
        <v>15</v>
      </c>
      <c r="F232" s="3">
        <v>15</v>
      </c>
      <c r="G232" s="3">
        <f t="shared" si="18"/>
        <v>1</v>
      </c>
      <c r="H232" s="3">
        <v>5799</v>
      </c>
      <c r="I232" s="4">
        <v>4305.1776</v>
      </c>
      <c r="J232" s="4">
        <f t="shared" si="19"/>
        <v>3648.4555932203393</v>
      </c>
      <c r="K232" s="5">
        <v>20</v>
      </c>
      <c r="L232" s="5">
        <f t="shared" si="20"/>
        <v>300</v>
      </c>
      <c r="M232" s="4">
        <f t="shared" si="21"/>
        <v>3348.4555932203393</v>
      </c>
      <c r="N232" s="3"/>
      <c r="O232" s="4">
        <f t="shared" si="23"/>
        <v>3348.4555932203393</v>
      </c>
      <c r="P232" s="6">
        <f t="shared" si="22"/>
        <v>3951.1776</v>
      </c>
    </row>
    <row r="233" spans="1:16" x14ac:dyDescent="0.25">
      <c r="A233" s="2">
        <v>274730265</v>
      </c>
      <c r="B233" s="2" t="s">
        <v>253</v>
      </c>
      <c r="C233" s="3" t="s">
        <v>22</v>
      </c>
      <c r="D233" s="3" t="s">
        <v>200</v>
      </c>
      <c r="E233" s="3">
        <v>20</v>
      </c>
      <c r="F233" s="3">
        <v>20</v>
      </c>
      <c r="G233" s="3">
        <f t="shared" si="18"/>
        <v>1</v>
      </c>
      <c r="H233" s="3">
        <v>7714</v>
      </c>
      <c r="I233" s="4">
        <v>5733.8162000000002</v>
      </c>
      <c r="J233" s="4">
        <f t="shared" si="19"/>
        <v>4859.166271186441</v>
      </c>
      <c r="K233" s="5">
        <v>20</v>
      </c>
      <c r="L233" s="5">
        <f t="shared" si="20"/>
        <v>400</v>
      </c>
      <c r="M233" s="4">
        <f t="shared" si="21"/>
        <v>4459.166271186441</v>
      </c>
      <c r="N233" s="3"/>
      <c r="O233" s="4">
        <f t="shared" si="23"/>
        <v>4459.166271186441</v>
      </c>
      <c r="P233" s="6">
        <f t="shared" si="22"/>
        <v>5261.8162000000002</v>
      </c>
    </row>
    <row r="234" spans="1:16" x14ac:dyDescent="0.25">
      <c r="A234" s="2">
        <v>274850174</v>
      </c>
      <c r="B234" s="2" t="s">
        <v>254</v>
      </c>
      <c r="C234" s="3" t="s">
        <v>17</v>
      </c>
      <c r="D234" s="3" t="s">
        <v>200</v>
      </c>
      <c r="E234" s="3">
        <v>20</v>
      </c>
      <c r="F234" s="3">
        <v>0.5</v>
      </c>
      <c r="G234" s="3">
        <f t="shared" si="18"/>
        <v>40</v>
      </c>
      <c r="H234" s="3">
        <v>199</v>
      </c>
      <c r="I234" s="4">
        <v>153.58820000000003</v>
      </c>
      <c r="J234" s="4">
        <f t="shared" si="19"/>
        <v>130.15949152542376</v>
      </c>
      <c r="K234" s="5">
        <v>0</v>
      </c>
      <c r="L234" s="5">
        <f t="shared" si="20"/>
        <v>0</v>
      </c>
      <c r="M234" s="4">
        <f t="shared" si="21"/>
        <v>130.15949152542376</v>
      </c>
      <c r="N234" s="3"/>
      <c r="O234" s="4">
        <f t="shared" si="23"/>
        <v>130.15949152542376</v>
      </c>
      <c r="P234" s="6">
        <f t="shared" si="22"/>
        <v>153.58820000000003</v>
      </c>
    </row>
    <row r="235" spans="1:16" x14ac:dyDescent="0.25">
      <c r="A235" s="2">
        <v>274850175</v>
      </c>
      <c r="B235" s="2" t="s">
        <v>255</v>
      </c>
      <c r="C235" s="3" t="s">
        <v>22</v>
      </c>
      <c r="D235" s="3" t="s">
        <v>200</v>
      </c>
      <c r="E235" s="3">
        <v>10</v>
      </c>
      <c r="F235" s="3">
        <v>0.5</v>
      </c>
      <c r="G235" s="3">
        <f t="shared" si="18"/>
        <v>20</v>
      </c>
      <c r="H235" s="3">
        <v>199</v>
      </c>
      <c r="I235" s="4">
        <v>153.58820000000003</v>
      </c>
      <c r="J235" s="4">
        <f t="shared" si="19"/>
        <v>130.15949152542376</v>
      </c>
      <c r="K235" s="5">
        <v>0</v>
      </c>
      <c r="L235" s="5">
        <f t="shared" si="20"/>
        <v>0</v>
      </c>
      <c r="M235" s="4">
        <f t="shared" si="21"/>
        <v>130.15949152542376</v>
      </c>
      <c r="N235" s="3"/>
      <c r="O235" s="4">
        <f t="shared" si="23"/>
        <v>130.15949152542376</v>
      </c>
      <c r="P235" s="6">
        <f t="shared" si="22"/>
        <v>153.58820000000003</v>
      </c>
    </row>
    <row r="236" spans="1:16" x14ac:dyDescent="0.25">
      <c r="A236" s="2">
        <v>274850184</v>
      </c>
      <c r="B236" s="2" t="s">
        <v>256</v>
      </c>
      <c r="C236" s="3" t="s">
        <v>22</v>
      </c>
      <c r="D236" s="3" t="s">
        <v>200</v>
      </c>
      <c r="E236" s="3">
        <v>20</v>
      </c>
      <c r="F236" s="3">
        <v>1</v>
      </c>
      <c r="G236" s="3">
        <f t="shared" si="18"/>
        <v>20</v>
      </c>
      <c r="H236" s="3">
        <v>385</v>
      </c>
      <c r="I236" s="4">
        <v>285.32349999999997</v>
      </c>
      <c r="J236" s="4">
        <f t="shared" si="19"/>
        <v>241.79957627118642</v>
      </c>
      <c r="K236" s="5">
        <v>20</v>
      </c>
      <c r="L236" s="5">
        <f t="shared" si="20"/>
        <v>20</v>
      </c>
      <c r="M236" s="4">
        <f t="shared" si="21"/>
        <v>221.79957627118642</v>
      </c>
      <c r="N236" s="3"/>
      <c r="O236" s="4">
        <f t="shared" si="23"/>
        <v>221.79957627118642</v>
      </c>
      <c r="P236" s="6">
        <f t="shared" si="22"/>
        <v>261.72349999999994</v>
      </c>
    </row>
    <row r="237" spans="1:16" x14ac:dyDescent="0.25">
      <c r="A237" s="2">
        <v>274850203</v>
      </c>
      <c r="B237" s="2" t="s">
        <v>257</v>
      </c>
      <c r="C237" s="3" t="s">
        <v>22</v>
      </c>
      <c r="D237" s="3" t="s">
        <v>200</v>
      </c>
      <c r="E237" s="3">
        <v>12</v>
      </c>
      <c r="F237" s="3">
        <v>3</v>
      </c>
      <c r="G237" s="3">
        <f t="shared" si="18"/>
        <v>4</v>
      </c>
      <c r="H237" s="3">
        <v>1125</v>
      </c>
      <c r="I237" s="4">
        <v>830.7</v>
      </c>
      <c r="J237" s="4">
        <f t="shared" si="19"/>
        <v>703.98305084745766</v>
      </c>
      <c r="K237" s="5">
        <v>20</v>
      </c>
      <c r="L237" s="5">
        <f t="shared" si="20"/>
        <v>60</v>
      </c>
      <c r="M237" s="4">
        <f t="shared" si="21"/>
        <v>643.98305084745766</v>
      </c>
      <c r="N237" s="3"/>
      <c r="O237" s="4">
        <f t="shared" si="23"/>
        <v>643.98305084745766</v>
      </c>
      <c r="P237" s="6">
        <f t="shared" si="22"/>
        <v>759.9</v>
      </c>
    </row>
    <row r="238" spans="1:16" x14ac:dyDescent="0.25">
      <c r="A238" s="2">
        <v>274850225</v>
      </c>
      <c r="B238" s="2" t="s">
        <v>258</v>
      </c>
      <c r="C238" s="3" t="s">
        <v>22</v>
      </c>
      <c r="D238" s="3" t="s">
        <v>200</v>
      </c>
      <c r="E238" s="3">
        <v>24</v>
      </c>
      <c r="F238" s="3">
        <v>1.2</v>
      </c>
      <c r="G238" s="3">
        <f t="shared" si="18"/>
        <v>20</v>
      </c>
      <c r="H238" s="3">
        <v>465</v>
      </c>
      <c r="I238" s="4">
        <v>350.00549999999998</v>
      </c>
      <c r="J238" s="4">
        <f t="shared" si="19"/>
        <v>296.6148305084746</v>
      </c>
      <c r="K238" s="5">
        <v>20</v>
      </c>
      <c r="L238" s="5">
        <f t="shared" si="20"/>
        <v>24</v>
      </c>
      <c r="M238" s="4">
        <f t="shared" si="21"/>
        <v>272.6148305084746</v>
      </c>
      <c r="N238" s="3"/>
      <c r="O238" s="4">
        <f t="shared" si="23"/>
        <v>272.6148305084746</v>
      </c>
      <c r="P238" s="6">
        <f t="shared" si="22"/>
        <v>321.68549999999999</v>
      </c>
    </row>
    <row r="239" spans="1:16" x14ac:dyDescent="0.25">
      <c r="A239" s="2">
        <v>274850234</v>
      </c>
      <c r="B239" s="2" t="s">
        <v>259</v>
      </c>
      <c r="C239" s="3" t="s">
        <v>22</v>
      </c>
      <c r="D239" s="3" t="s">
        <v>200</v>
      </c>
      <c r="E239" s="3">
        <v>20</v>
      </c>
      <c r="F239" s="3">
        <v>5</v>
      </c>
      <c r="G239" s="3">
        <f t="shared" si="18"/>
        <v>4</v>
      </c>
      <c r="H239" s="3">
        <v>1854</v>
      </c>
      <c r="I239" s="4">
        <v>1381.0445999999999</v>
      </c>
      <c r="J239" s="4">
        <f t="shared" si="19"/>
        <v>1170.3767796610171</v>
      </c>
      <c r="K239" s="5">
        <v>20</v>
      </c>
      <c r="L239" s="5">
        <f t="shared" si="20"/>
        <v>100</v>
      </c>
      <c r="M239" s="4">
        <f t="shared" si="21"/>
        <v>1070.3767796610171</v>
      </c>
      <c r="N239" s="3"/>
      <c r="O239" s="4">
        <f t="shared" si="23"/>
        <v>1070.3767796610171</v>
      </c>
      <c r="P239" s="6">
        <f t="shared" si="22"/>
        <v>1263.0445999999999</v>
      </c>
    </row>
    <row r="240" spans="1:16" x14ac:dyDescent="0.25">
      <c r="A240" s="2">
        <v>274850242</v>
      </c>
      <c r="B240" s="2" t="s">
        <v>260</v>
      </c>
      <c r="C240" s="3" t="s">
        <v>22</v>
      </c>
      <c r="D240" s="3" t="s">
        <v>200</v>
      </c>
      <c r="E240" s="3">
        <v>10</v>
      </c>
      <c r="F240" s="3">
        <v>10</v>
      </c>
      <c r="G240" s="3">
        <f t="shared" si="18"/>
        <v>1</v>
      </c>
      <c r="H240" s="3">
        <v>3704</v>
      </c>
      <c r="I240" s="4">
        <v>2741.3304000000003</v>
      </c>
      <c r="J240" s="4">
        <f t="shared" si="19"/>
        <v>2323.1613559322036</v>
      </c>
      <c r="K240" s="5">
        <v>20</v>
      </c>
      <c r="L240" s="5">
        <f t="shared" si="20"/>
        <v>200</v>
      </c>
      <c r="M240" s="4">
        <f t="shared" si="21"/>
        <v>2123.1613559322036</v>
      </c>
      <c r="N240" s="3"/>
      <c r="O240" s="4">
        <f t="shared" si="23"/>
        <v>2123.1613559322036</v>
      </c>
      <c r="P240" s="6">
        <f t="shared" si="22"/>
        <v>2505.3304000000003</v>
      </c>
    </row>
    <row r="241" spans="1:16" x14ac:dyDescent="0.25">
      <c r="A241" s="2">
        <v>274850244</v>
      </c>
      <c r="B241" s="2" t="s">
        <v>261</v>
      </c>
      <c r="C241" s="3" t="s">
        <v>22</v>
      </c>
      <c r="D241" s="3" t="s">
        <v>200</v>
      </c>
      <c r="E241" s="3">
        <v>24</v>
      </c>
      <c r="F241" s="3">
        <v>6</v>
      </c>
      <c r="G241" s="3">
        <f t="shared" si="18"/>
        <v>4</v>
      </c>
      <c r="H241" s="3">
        <v>2234</v>
      </c>
      <c r="I241" s="4">
        <v>1675.0532000000001</v>
      </c>
      <c r="J241" s="4">
        <f t="shared" si="19"/>
        <v>1419.5366101694917</v>
      </c>
      <c r="K241" s="5">
        <v>20</v>
      </c>
      <c r="L241" s="5">
        <f t="shared" si="20"/>
        <v>120</v>
      </c>
      <c r="M241" s="4">
        <f t="shared" si="21"/>
        <v>1299.5366101694917</v>
      </c>
      <c r="N241" s="3"/>
      <c r="O241" s="4">
        <f t="shared" si="23"/>
        <v>1299.5366101694917</v>
      </c>
      <c r="P241" s="6">
        <f t="shared" si="22"/>
        <v>1533.4532000000002</v>
      </c>
    </row>
    <row r="242" spans="1:16" x14ac:dyDescent="0.25">
      <c r="A242" s="2">
        <v>274850251</v>
      </c>
      <c r="B242" s="2" t="s">
        <v>262</v>
      </c>
      <c r="C242" s="3" t="s">
        <v>22</v>
      </c>
      <c r="D242" s="3" t="s">
        <v>200</v>
      </c>
      <c r="E242" s="3">
        <v>7.5</v>
      </c>
      <c r="F242" s="3">
        <v>7.5</v>
      </c>
      <c r="G242" s="3">
        <f t="shared" si="18"/>
        <v>1</v>
      </c>
      <c r="H242" s="3">
        <v>2795</v>
      </c>
      <c r="I242" s="4">
        <v>2099.8834999999999</v>
      </c>
      <c r="J242" s="4">
        <f t="shared" si="19"/>
        <v>1779.5622881355932</v>
      </c>
      <c r="K242" s="5">
        <v>20</v>
      </c>
      <c r="L242" s="5">
        <f t="shared" si="20"/>
        <v>150</v>
      </c>
      <c r="M242" s="4">
        <f t="shared" si="21"/>
        <v>1629.5622881355932</v>
      </c>
      <c r="N242" s="3"/>
      <c r="O242" s="4">
        <f t="shared" si="23"/>
        <v>1629.5622881355932</v>
      </c>
      <c r="P242" s="6">
        <f t="shared" si="22"/>
        <v>1922.8834999999999</v>
      </c>
    </row>
    <row r="243" spans="1:16" x14ac:dyDescent="0.25">
      <c r="A243" s="2">
        <v>274850256</v>
      </c>
      <c r="B243" s="2" t="s">
        <v>263</v>
      </c>
      <c r="C243" s="3" t="s">
        <v>22</v>
      </c>
      <c r="D243" s="3" t="s">
        <v>200</v>
      </c>
      <c r="E243" s="3">
        <v>15</v>
      </c>
      <c r="F243" s="3">
        <v>15</v>
      </c>
      <c r="G243" s="3">
        <f t="shared" si="18"/>
        <v>1</v>
      </c>
      <c r="H243" s="3">
        <v>5548</v>
      </c>
      <c r="I243" s="4">
        <v>4081.1088</v>
      </c>
      <c r="J243" s="4">
        <f t="shared" si="19"/>
        <v>3458.5667796610173</v>
      </c>
      <c r="K243" s="5">
        <v>20</v>
      </c>
      <c r="L243" s="5">
        <f t="shared" si="20"/>
        <v>300</v>
      </c>
      <c r="M243" s="4">
        <f t="shared" si="21"/>
        <v>3158.5667796610173</v>
      </c>
      <c r="N243" s="3"/>
      <c r="O243" s="4">
        <f t="shared" si="23"/>
        <v>3158.5667796610173</v>
      </c>
      <c r="P243" s="6">
        <f t="shared" si="22"/>
        <v>3727.1088000000004</v>
      </c>
    </row>
    <row r="244" spans="1:16" x14ac:dyDescent="0.25">
      <c r="A244" s="2">
        <v>274850265</v>
      </c>
      <c r="B244" s="2" t="s">
        <v>264</v>
      </c>
      <c r="C244" s="3" t="s">
        <v>22</v>
      </c>
      <c r="D244" s="3" t="s">
        <v>200</v>
      </c>
      <c r="E244" s="3">
        <v>20</v>
      </c>
      <c r="F244" s="3">
        <v>20</v>
      </c>
      <c r="G244" s="3">
        <f t="shared" si="18"/>
        <v>1</v>
      </c>
      <c r="H244" s="3">
        <v>7395</v>
      </c>
      <c r="I244" s="4">
        <v>5433.8459999999995</v>
      </c>
      <c r="J244" s="4">
        <f t="shared" si="19"/>
        <v>4604.9542372881351</v>
      </c>
      <c r="K244" s="5">
        <v>20</v>
      </c>
      <c r="L244" s="5">
        <f t="shared" si="20"/>
        <v>400</v>
      </c>
      <c r="M244" s="4">
        <f t="shared" si="21"/>
        <v>4204.9542372881351</v>
      </c>
      <c r="N244" s="3"/>
      <c r="O244" s="4">
        <f t="shared" si="23"/>
        <v>4204.9542372881351</v>
      </c>
      <c r="P244" s="6">
        <f t="shared" si="22"/>
        <v>4961.8459999999995</v>
      </c>
    </row>
    <row r="245" spans="1:16" x14ac:dyDescent="0.25">
      <c r="A245" s="2">
        <v>275140184</v>
      </c>
      <c r="B245" s="2" t="s">
        <v>265</v>
      </c>
      <c r="C245" s="3" t="s">
        <v>22</v>
      </c>
      <c r="D245" s="3" t="s">
        <v>200</v>
      </c>
      <c r="E245" s="3">
        <v>20</v>
      </c>
      <c r="F245" s="3">
        <v>1</v>
      </c>
      <c r="G245" s="3">
        <f t="shared" si="18"/>
        <v>20</v>
      </c>
      <c r="H245" s="3">
        <v>396</v>
      </c>
      <c r="I245" s="4">
        <v>279.81359999999995</v>
      </c>
      <c r="J245" s="4">
        <f t="shared" si="19"/>
        <v>237.13016949152541</v>
      </c>
      <c r="K245" s="5">
        <v>20</v>
      </c>
      <c r="L245" s="5">
        <f t="shared" si="20"/>
        <v>20</v>
      </c>
      <c r="M245" s="4">
        <f t="shared" si="21"/>
        <v>217.13016949152541</v>
      </c>
      <c r="N245" s="3"/>
      <c r="O245" s="4">
        <f t="shared" si="23"/>
        <v>217.13016949152541</v>
      </c>
      <c r="P245" s="6">
        <f t="shared" si="22"/>
        <v>256.21359999999999</v>
      </c>
    </row>
    <row r="246" spans="1:16" x14ac:dyDescent="0.25">
      <c r="A246" s="2">
        <v>275140203</v>
      </c>
      <c r="B246" s="2" t="s">
        <v>266</v>
      </c>
      <c r="C246" s="3" t="s">
        <v>22</v>
      </c>
      <c r="D246" s="3" t="s">
        <v>200</v>
      </c>
      <c r="E246" s="3">
        <v>12</v>
      </c>
      <c r="F246" s="3">
        <v>3</v>
      </c>
      <c r="G246" s="3">
        <f t="shared" si="18"/>
        <v>4</v>
      </c>
      <c r="H246" s="3">
        <v>1187</v>
      </c>
      <c r="I246" s="4">
        <v>840.03989999999988</v>
      </c>
      <c r="J246" s="4">
        <f t="shared" si="19"/>
        <v>711.89822033898304</v>
      </c>
      <c r="K246" s="5">
        <v>20</v>
      </c>
      <c r="L246" s="5">
        <f t="shared" si="20"/>
        <v>60</v>
      </c>
      <c r="M246" s="4">
        <f t="shared" si="21"/>
        <v>651.89822033898304</v>
      </c>
      <c r="N246" s="3"/>
      <c r="O246" s="4">
        <f t="shared" si="23"/>
        <v>651.89822033898304</v>
      </c>
      <c r="P246" s="6">
        <f t="shared" si="22"/>
        <v>769.23989999999992</v>
      </c>
    </row>
    <row r="247" spans="1:16" x14ac:dyDescent="0.25">
      <c r="A247" s="2">
        <v>275140234</v>
      </c>
      <c r="B247" s="2" t="s">
        <v>267</v>
      </c>
      <c r="C247" s="3" t="s">
        <v>22</v>
      </c>
      <c r="D247" s="3" t="s">
        <v>200</v>
      </c>
      <c r="E247" s="3">
        <v>20</v>
      </c>
      <c r="F247" s="3">
        <v>5</v>
      </c>
      <c r="G247" s="3">
        <f t="shared" si="18"/>
        <v>4</v>
      </c>
      <c r="H247" s="3">
        <v>1963</v>
      </c>
      <c r="I247" s="4">
        <v>1391.1781000000001</v>
      </c>
      <c r="J247" s="4">
        <f t="shared" si="19"/>
        <v>1178.9644915254239</v>
      </c>
      <c r="K247" s="5">
        <v>20</v>
      </c>
      <c r="L247" s="5">
        <f t="shared" si="20"/>
        <v>100</v>
      </c>
      <c r="M247" s="4">
        <f t="shared" si="21"/>
        <v>1078.9644915254239</v>
      </c>
      <c r="N247" s="3"/>
      <c r="O247" s="4">
        <f t="shared" si="23"/>
        <v>1078.9644915254239</v>
      </c>
      <c r="P247" s="6">
        <f t="shared" si="22"/>
        <v>1273.1781000000001</v>
      </c>
    </row>
    <row r="248" spans="1:16" x14ac:dyDescent="0.25">
      <c r="A248" s="2">
        <v>428860156</v>
      </c>
      <c r="B248" s="2" t="s">
        <v>268</v>
      </c>
      <c r="C248" s="3" t="s">
        <v>17</v>
      </c>
      <c r="D248" s="3" t="s">
        <v>269</v>
      </c>
      <c r="E248" s="3">
        <v>16</v>
      </c>
      <c r="F248" s="3">
        <v>0.8</v>
      </c>
      <c r="G248" s="3">
        <f t="shared" si="18"/>
        <v>20</v>
      </c>
      <c r="H248" s="3">
        <v>489</v>
      </c>
      <c r="I248" s="4">
        <v>324.98939999999999</v>
      </c>
      <c r="J248" s="4">
        <f t="shared" si="19"/>
        <v>275.41474576271185</v>
      </c>
      <c r="K248" s="5">
        <v>35</v>
      </c>
      <c r="L248" s="5">
        <f t="shared" si="20"/>
        <v>28</v>
      </c>
      <c r="M248" s="4">
        <f t="shared" si="21"/>
        <v>247.41474576271185</v>
      </c>
      <c r="N248" s="3"/>
      <c r="O248" s="4">
        <f t="shared" si="23"/>
        <v>247.41474576271185</v>
      </c>
      <c r="P248" s="6">
        <f t="shared" si="22"/>
        <v>291.94939999999997</v>
      </c>
    </row>
    <row r="249" spans="1:16" x14ac:dyDescent="0.25">
      <c r="A249" s="2">
        <v>429000103</v>
      </c>
      <c r="B249" s="2" t="s">
        <v>270</v>
      </c>
      <c r="C249" s="3" t="s">
        <v>17</v>
      </c>
      <c r="D249" s="3" t="s">
        <v>271</v>
      </c>
      <c r="E249" s="3">
        <v>12</v>
      </c>
      <c r="F249" s="3">
        <v>0.02</v>
      </c>
      <c r="G249" s="3">
        <f t="shared" si="18"/>
        <v>600</v>
      </c>
      <c r="H249" s="3">
        <v>14</v>
      </c>
      <c r="I249" s="4">
        <v>8.8396000000000008</v>
      </c>
      <c r="J249" s="4">
        <f t="shared" si="19"/>
        <v>7.4911864406779669</v>
      </c>
      <c r="K249" s="5">
        <v>0</v>
      </c>
      <c r="L249" s="5">
        <f t="shared" si="20"/>
        <v>0</v>
      </c>
      <c r="M249" s="4">
        <f t="shared" si="21"/>
        <v>7.4911864406779669</v>
      </c>
      <c r="N249" s="3"/>
      <c r="O249" s="4">
        <f t="shared" si="23"/>
        <v>7.4911864406779669</v>
      </c>
      <c r="P249" s="6">
        <f t="shared" si="22"/>
        <v>8.8396000000000008</v>
      </c>
    </row>
    <row r="250" spans="1:16" x14ac:dyDescent="0.25">
      <c r="A250" s="2">
        <v>429000125</v>
      </c>
      <c r="B250" s="2" t="s">
        <v>272</v>
      </c>
      <c r="C250" s="3" t="s">
        <v>17</v>
      </c>
      <c r="D250" s="3" t="s">
        <v>271</v>
      </c>
      <c r="E250" s="3">
        <v>12</v>
      </c>
      <c r="F250" s="3">
        <v>0.04</v>
      </c>
      <c r="G250" s="3">
        <f t="shared" si="18"/>
        <v>300</v>
      </c>
      <c r="H250" s="3">
        <v>23</v>
      </c>
      <c r="I250" s="4">
        <v>16.129899999999999</v>
      </c>
      <c r="J250" s="4">
        <f t="shared" si="19"/>
        <v>13.669406779661017</v>
      </c>
      <c r="K250" s="5">
        <v>0</v>
      </c>
      <c r="L250" s="5">
        <f t="shared" si="20"/>
        <v>0</v>
      </c>
      <c r="M250" s="4">
        <f t="shared" si="21"/>
        <v>13.669406779661017</v>
      </c>
      <c r="N250" s="3"/>
      <c r="O250" s="4">
        <f t="shared" si="23"/>
        <v>13.669406779661017</v>
      </c>
      <c r="P250" s="6">
        <f t="shared" si="22"/>
        <v>16.129899999999999</v>
      </c>
    </row>
    <row r="251" spans="1:16" x14ac:dyDescent="0.25">
      <c r="A251" s="2">
        <v>429000145</v>
      </c>
      <c r="B251" s="2" t="s">
        <v>273</v>
      </c>
      <c r="C251" s="3" t="s">
        <v>17</v>
      </c>
      <c r="D251" s="3" t="s">
        <v>271</v>
      </c>
      <c r="E251" s="3">
        <v>12</v>
      </c>
      <c r="F251" s="3">
        <v>0.06</v>
      </c>
      <c r="G251" s="3">
        <f t="shared" si="18"/>
        <v>200</v>
      </c>
      <c r="H251" s="3">
        <v>36</v>
      </c>
      <c r="I251" s="4">
        <v>24.058800000000002</v>
      </c>
      <c r="J251" s="4">
        <f t="shared" si="19"/>
        <v>20.388813559322035</v>
      </c>
      <c r="K251" s="5">
        <v>0</v>
      </c>
      <c r="L251" s="5">
        <f t="shared" si="20"/>
        <v>0</v>
      </c>
      <c r="M251" s="4">
        <f t="shared" si="21"/>
        <v>20.388813559322035</v>
      </c>
      <c r="N251" s="3"/>
      <c r="O251" s="4">
        <f t="shared" si="23"/>
        <v>20.388813559322035</v>
      </c>
      <c r="P251" s="6">
        <f t="shared" si="22"/>
        <v>24.058800000000002</v>
      </c>
    </row>
    <row r="252" spans="1:16" x14ac:dyDescent="0.25">
      <c r="A252" s="2">
        <v>429000165</v>
      </c>
      <c r="B252" s="2" t="s">
        <v>274</v>
      </c>
      <c r="C252" s="3" t="s">
        <v>17</v>
      </c>
      <c r="D252" s="3" t="s">
        <v>271</v>
      </c>
      <c r="E252" s="3">
        <v>5</v>
      </c>
      <c r="F252" s="3">
        <v>0.25</v>
      </c>
      <c r="G252" s="3">
        <f t="shared" si="18"/>
        <v>20</v>
      </c>
      <c r="H252" s="3">
        <v>155</v>
      </c>
      <c r="I252" s="4">
        <v>104.005</v>
      </c>
      <c r="J252" s="4">
        <f t="shared" si="19"/>
        <v>88.139830508474574</v>
      </c>
      <c r="K252" s="5">
        <v>0</v>
      </c>
      <c r="L252" s="5">
        <f t="shared" si="20"/>
        <v>0</v>
      </c>
      <c r="M252" s="4">
        <f t="shared" si="21"/>
        <v>88.139830508474574</v>
      </c>
      <c r="N252" s="3"/>
      <c r="O252" s="4">
        <f t="shared" si="23"/>
        <v>88.139830508474574</v>
      </c>
      <c r="P252" s="6">
        <f t="shared" si="22"/>
        <v>104.005</v>
      </c>
    </row>
    <row r="253" spans="1:16" x14ac:dyDescent="0.25">
      <c r="A253" s="2">
        <v>429000175</v>
      </c>
      <c r="B253" s="2" t="s">
        <v>275</v>
      </c>
      <c r="C253" s="3" t="s">
        <v>17</v>
      </c>
      <c r="D253" s="3" t="s">
        <v>271</v>
      </c>
      <c r="E253" s="3">
        <v>10</v>
      </c>
      <c r="F253" s="3">
        <v>0.5</v>
      </c>
      <c r="G253" s="3">
        <f t="shared" si="18"/>
        <v>20</v>
      </c>
      <c r="H253" s="3">
        <v>295</v>
      </c>
      <c r="I253" s="4">
        <v>201.54399999999998</v>
      </c>
      <c r="J253" s="4">
        <f t="shared" si="19"/>
        <v>170.79999999999998</v>
      </c>
      <c r="K253" s="5">
        <v>0</v>
      </c>
      <c r="L253" s="5">
        <f t="shared" si="20"/>
        <v>0</v>
      </c>
      <c r="M253" s="4">
        <f t="shared" si="21"/>
        <v>170.79999999999998</v>
      </c>
      <c r="N253" s="3"/>
      <c r="O253" s="4">
        <f t="shared" si="23"/>
        <v>170.79999999999998</v>
      </c>
      <c r="P253" s="6">
        <f t="shared" si="22"/>
        <v>201.54399999999998</v>
      </c>
    </row>
    <row r="254" spans="1:16" x14ac:dyDescent="0.25">
      <c r="A254" s="2">
        <v>429000184</v>
      </c>
      <c r="B254" s="2" t="s">
        <v>276</v>
      </c>
      <c r="C254" s="3" t="s">
        <v>17</v>
      </c>
      <c r="D254" s="3" t="s">
        <v>271</v>
      </c>
      <c r="E254" s="3">
        <v>20</v>
      </c>
      <c r="F254" s="3">
        <v>1</v>
      </c>
      <c r="G254" s="3">
        <f t="shared" si="18"/>
        <v>20</v>
      </c>
      <c r="H254" s="3">
        <v>490</v>
      </c>
      <c r="I254" s="4">
        <v>369.99900000000002</v>
      </c>
      <c r="J254" s="4">
        <f t="shared" si="19"/>
        <v>313.55847457627124</v>
      </c>
      <c r="K254" s="5">
        <v>0</v>
      </c>
      <c r="L254" s="5">
        <f t="shared" si="20"/>
        <v>0</v>
      </c>
      <c r="M254" s="4">
        <f t="shared" si="21"/>
        <v>313.55847457627124</v>
      </c>
      <c r="N254" s="3"/>
      <c r="O254" s="4">
        <f t="shared" si="23"/>
        <v>313.55847457627124</v>
      </c>
      <c r="P254" s="6">
        <f t="shared" si="22"/>
        <v>369.99900000000002</v>
      </c>
    </row>
    <row r="255" spans="1:16" x14ac:dyDescent="0.25">
      <c r="A255" s="2">
        <v>429000229</v>
      </c>
      <c r="B255" s="2" t="s">
        <v>277</v>
      </c>
      <c r="C255" s="3" t="s">
        <v>17</v>
      </c>
      <c r="D255" s="3" t="s">
        <v>271</v>
      </c>
      <c r="E255" s="3">
        <v>20</v>
      </c>
      <c r="F255" s="3">
        <v>1</v>
      </c>
      <c r="G255" s="3">
        <f t="shared" si="18"/>
        <v>20</v>
      </c>
      <c r="H255" s="3">
        <v>490</v>
      </c>
      <c r="I255" s="4">
        <v>369.99900000000002</v>
      </c>
      <c r="J255" s="4">
        <f t="shared" si="19"/>
        <v>313.55847457627124</v>
      </c>
      <c r="K255" s="5">
        <v>0</v>
      </c>
      <c r="L255" s="5">
        <f t="shared" si="20"/>
        <v>0</v>
      </c>
      <c r="M255" s="4">
        <f t="shared" si="21"/>
        <v>313.55847457627124</v>
      </c>
      <c r="N255" s="3"/>
      <c r="O255" s="4">
        <f t="shared" si="23"/>
        <v>313.55847457627124</v>
      </c>
      <c r="P255" s="6">
        <f t="shared" si="22"/>
        <v>369.99900000000002</v>
      </c>
    </row>
    <row r="256" spans="1:16" x14ac:dyDescent="0.25">
      <c r="A256" s="2">
        <v>429000234</v>
      </c>
      <c r="B256" s="2" t="s">
        <v>278</v>
      </c>
      <c r="C256" s="3" t="s">
        <v>17</v>
      </c>
      <c r="D256" s="3" t="s">
        <v>271</v>
      </c>
      <c r="E256" s="3">
        <v>20</v>
      </c>
      <c r="F256" s="3">
        <v>5</v>
      </c>
      <c r="G256" s="3">
        <f t="shared" si="18"/>
        <v>4</v>
      </c>
      <c r="H256" s="3">
        <v>2413</v>
      </c>
      <c r="I256" s="4">
        <v>1855.5970000000002</v>
      </c>
      <c r="J256" s="4">
        <f t="shared" si="19"/>
        <v>1572.5398305084748</v>
      </c>
      <c r="K256" s="5">
        <v>0</v>
      </c>
      <c r="L256" s="5">
        <f t="shared" si="20"/>
        <v>0</v>
      </c>
      <c r="M256" s="4">
        <f t="shared" si="21"/>
        <v>1572.5398305084748</v>
      </c>
      <c r="N256" s="3"/>
      <c r="O256" s="4">
        <f t="shared" si="23"/>
        <v>1572.5398305084748</v>
      </c>
      <c r="P256" s="6">
        <f t="shared" si="22"/>
        <v>1855.5970000000002</v>
      </c>
    </row>
    <row r="257" spans="1:16" x14ac:dyDescent="0.25">
      <c r="A257" s="2">
        <v>429240152</v>
      </c>
      <c r="B257" s="2" t="s">
        <v>279</v>
      </c>
      <c r="C257" s="3" t="s">
        <v>17</v>
      </c>
      <c r="D257" s="3" t="s">
        <v>269</v>
      </c>
      <c r="E257" s="3">
        <v>18</v>
      </c>
      <c r="F257" s="3">
        <v>0.9</v>
      </c>
      <c r="G257" s="3">
        <f t="shared" si="18"/>
        <v>20</v>
      </c>
      <c r="H257" s="3">
        <v>474</v>
      </c>
      <c r="I257" s="4">
        <v>294.3066</v>
      </c>
      <c r="J257" s="4">
        <f t="shared" si="19"/>
        <v>249.41237288135594</v>
      </c>
      <c r="K257" s="5">
        <v>0</v>
      </c>
      <c r="L257" s="5">
        <f t="shared" si="20"/>
        <v>0</v>
      </c>
      <c r="M257" s="4">
        <f t="shared" si="21"/>
        <v>249.41237288135594</v>
      </c>
      <c r="N257" s="3"/>
      <c r="O257" s="4">
        <f t="shared" si="23"/>
        <v>249.41237288135594</v>
      </c>
      <c r="P257" s="6">
        <f t="shared" si="22"/>
        <v>294.3066</v>
      </c>
    </row>
    <row r="258" spans="1:16" x14ac:dyDescent="0.25">
      <c r="A258" s="2">
        <v>429240184</v>
      </c>
      <c r="B258" s="2" t="s">
        <v>280</v>
      </c>
      <c r="C258" s="3" t="s">
        <v>17</v>
      </c>
      <c r="D258" s="3" t="s">
        <v>269</v>
      </c>
      <c r="E258" s="3">
        <v>20</v>
      </c>
      <c r="F258" s="3">
        <v>1</v>
      </c>
      <c r="G258" s="3">
        <f t="shared" ref="G258:G321" si="24">E258/F258</f>
        <v>20</v>
      </c>
      <c r="H258" s="3">
        <v>514</v>
      </c>
      <c r="I258" s="4">
        <v>319.34820000000002</v>
      </c>
      <c r="J258" s="4">
        <f t="shared" ref="J258:J321" si="25">I258/1.18</f>
        <v>270.63406779661022</v>
      </c>
      <c r="K258" s="5">
        <v>0</v>
      </c>
      <c r="L258" s="5">
        <f t="shared" ref="L258:L321" si="26">(K258)*F258</f>
        <v>0</v>
      </c>
      <c r="M258" s="4">
        <f t="shared" ref="M258:M321" si="27">J258-L258</f>
        <v>270.63406779661022</v>
      </c>
      <c r="N258" s="3"/>
      <c r="O258" s="4">
        <f t="shared" si="23"/>
        <v>270.63406779661022</v>
      </c>
      <c r="P258" s="6">
        <f t="shared" ref="P258:P321" si="28">O258*1.18</f>
        <v>319.34820000000008</v>
      </c>
    </row>
    <row r="259" spans="1:16" x14ac:dyDescent="0.25">
      <c r="A259" s="2">
        <v>429240229</v>
      </c>
      <c r="B259" s="2" t="s">
        <v>281</v>
      </c>
      <c r="C259" s="3" t="s">
        <v>17</v>
      </c>
      <c r="D259" s="3" t="s">
        <v>269</v>
      </c>
      <c r="E259" s="3">
        <v>20</v>
      </c>
      <c r="F259" s="3">
        <v>1</v>
      </c>
      <c r="G259" s="3">
        <f t="shared" si="24"/>
        <v>20</v>
      </c>
      <c r="H259" s="3">
        <v>514</v>
      </c>
      <c r="I259" s="4">
        <v>319.34820000000002</v>
      </c>
      <c r="J259" s="4">
        <f t="shared" si="25"/>
        <v>270.63406779661022</v>
      </c>
      <c r="K259" s="5">
        <v>14</v>
      </c>
      <c r="L259" s="5">
        <f t="shared" si="26"/>
        <v>14</v>
      </c>
      <c r="M259" s="4">
        <f t="shared" si="27"/>
        <v>256.63406779661022</v>
      </c>
      <c r="N259" s="3"/>
      <c r="O259" s="4">
        <f t="shared" ref="O259:O322" si="29">M259-N259</f>
        <v>256.63406779661022</v>
      </c>
      <c r="P259" s="6">
        <f t="shared" si="28"/>
        <v>302.82820000000004</v>
      </c>
    </row>
    <row r="260" spans="1:16" x14ac:dyDescent="0.25">
      <c r="A260" s="2">
        <v>429240230</v>
      </c>
      <c r="B260" s="2" t="s">
        <v>282</v>
      </c>
      <c r="C260" s="3" t="s">
        <v>17</v>
      </c>
      <c r="D260" s="3" t="s">
        <v>269</v>
      </c>
      <c r="E260" s="3">
        <v>18</v>
      </c>
      <c r="F260" s="3">
        <v>0.9</v>
      </c>
      <c r="G260" s="3">
        <f t="shared" si="24"/>
        <v>20</v>
      </c>
      <c r="H260" s="3">
        <v>474</v>
      </c>
      <c r="I260" s="4">
        <v>294.3066</v>
      </c>
      <c r="J260" s="4">
        <f t="shared" si="25"/>
        <v>249.41237288135594</v>
      </c>
      <c r="K260" s="5">
        <v>20</v>
      </c>
      <c r="L260" s="5">
        <f t="shared" si="26"/>
        <v>18</v>
      </c>
      <c r="M260" s="4">
        <f t="shared" si="27"/>
        <v>231.41237288135594</v>
      </c>
      <c r="N260" s="3"/>
      <c r="O260" s="4">
        <f t="shared" si="29"/>
        <v>231.41237288135594</v>
      </c>
      <c r="P260" s="6">
        <f t="shared" si="28"/>
        <v>273.06659999999999</v>
      </c>
    </row>
    <row r="261" spans="1:16" x14ac:dyDescent="0.25">
      <c r="A261" s="2">
        <v>429310023</v>
      </c>
      <c r="B261" s="2" t="s">
        <v>283</v>
      </c>
      <c r="C261" s="3" t="s">
        <v>17</v>
      </c>
      <c r="D261" s="3" t="s">
        <v>269</v>
      </c>
      <c r="E261" s="3">
        <v>24</v>
      </c>
      <c r="F261" s="3">
        <v>1.2</v>
      </c>
      <c r="G261" s="3">
        <f t="shared" si="24"/>
        <v>20</v>
      </c>
      <c r="H261" s="3">
        <v>656</v>
      </c>
      <c r="I261" s="4">
        <v>400.02879999999999</v>
      </c>
      <c r="J261" s="4">
        <f t="shared" si="25"/>
        <v>339.00745762711864</v>
      </c>
      <c r="K261" s="5">
        <v>0</v>
      </c>
      <c r="L261" s="5">
        <f t="shared" si="26"/>
        <v>0</v>
      </c>
      <c r="M261" s="4">
        <f t="shared" si="27"/>
        <v>339.00745762711864</v>
      </c>
      <c r="N261" s="3"/>
      <c r="O261" s="4">
        <f t="shared" si="29"/>
        <v>339.00745762711864</v>
      </c>
      <c r="P261" s="6">
        <f t="shared" si="28"/>
        <v>400.02879999999999</v>
      </c>
    </row>
    <row r="262" spans="1:16" x14ac:dyDescent="0.25">
      <c r="A262" s="2">
        <v>429310184</v>
      </c>
      <c r="B262" s="2" t="s">
        <v>284</v>
      </c>
      <c r="C262" s="3" t="s">
        <v>17</v>
      </c>
      <c r="D262" s="3" t="s">
        <v>269</v>
      </c>
      <c r="E262" s="3">
        <v>20</v>
      </c>
      <c r="F262" s="3">
        <v>1</v>
      </c>
      <c r="G262" s="3">
        <f t="shared" si="24"/>
        <v>20</v>
      </c>
      <c r="H262" s="3">
        <v>512</v>
      </c>
      <c r="I262" s="4">
        <v>318.25919999999996</v>
      </c>
      <c r="J262" s="4">
        <f t="shared" si="25"/>
        <v>269.71118644067798</v>
      </c>
      <c r="K262" s="5">
        <v>0</v>
      </c>
      <c r="L262" s="5">
        <f t="shared" si="26"/>
        <v>0</v>
      </c>
      <c r="M262" s="4">
        <f t="shared" si="27"/>
        <v>269.71118644067798</v>
      </c>
      <c r="N262" s="3"/>
      <c r="O262" s="4">
        <f t="shared" si="29"/>
        <v>269.71118644067798</v>
      </c>
      <c r="P262" s="6">
        <f t="shared" si="28"/>
        <v>318.25920000000002</v>
      </c>
    </row>
    <row r="263" spans="1:16" x14ac:dyDescent="0.25">
      <c r="A263" s="2">
        <v>429310225</v>
      </c>
      <c r="B263" s="2" t="s">
        <v>285</v>
      </c>
      <c r="C263" s="3" t="s">
        <v>17</v>
      </c>
      <c r="D263" s="3" t="s">
        <v>269</v>
      </c>
      <c r="E263" s="3">
        <v>24</v>
      </c>
      <c r="F263" s="3">
        <v>1.2</v>
      </c>
      <c r="G263" s="3">
        <f t="shared" si="24"/>
        <v>20</v>
      </c>
      <c r="H263" s="3">
        <v>656</v>
      </c>
      <c r="I263" s="4">
        <v>400.02879999999999</v>
      </c>
      <c r="J263" s="4">
        <f t="shared" si="25"/>
        <v>339.00745762711864</v>
      </c>
      <c r="K263" s="5">
        <v>0</v>
      </c>
      <c r="L263" s="5">
        <f t="shared" si="26"/>
        <v>0</v>
      </c>
      <c r="M263" s="4">
        <f t="shared" si="27"/>
        <v>339.00745762711864</v>
      </c>
      <c r="N263" s="3"/>
      <c r="O263" s="4">
        <f t="shared" si="29"/>
        <v>339.00745762711864</v>
      </c>
      <c r="P263" s="6">
        <f t="shared" si="28"/>
        <v>400.02879999999999</v>
      </c>
    </row>
    <row r="264" spans="1:16" x14ac:dyDescent="0.25">
      <c r="A264" s="2">
        <v>429310229</v>
      </c>
      <c r="B264" s="2" t="s">
        <v>286</v>
      </c>
      <c r="C264" s="3" t="s">
        <v>17</v>
      </c>
      <c r="D264" s="3" t="s">
        <v>269</v>
      </c>
      <c r="E264" s="3">
        <v>20</v>
      </c>
      <c r="F264" s="3">
        <v>1</v>
      </c>
      <c r="G264" s="3">
        <f t="shared" si="24"/>
        <v>20</v>
      </c>
      <c r="H264" s="3">
        <v>512</v>
      </c>
      <c r="I264" s="4">
        <v>318.25919999999996</v>
      </c>
      <c r="J264" s="4">
        <f t="shared" si="25"/>
        <v>269.71118644067798</v>
      </c>
      <c r="K264" s="5">
        <v>10</v>
      </c>
      <c r="L264" s="5">
        <f t="shared" si="26"/>
        <v>10</v>
      </c>
      <c r="M264" s="4">
        <f t="shared" si="27"/>
        <v>259.71118644067798</v>
      </c>
      <c r="N264" s="3"/>
      <c r="O264" s="4">
        <f t="shared" si="29"/>
        <v>259.71118644067798</v>
      </c>
      <c r="P264" s="6">
        <f t="shared" si="28"/>
        <v>306.45920000000001</v>
      </c>
    </row>
    <row r="265" spans="1:16" x14ac:dyDescent="0.25">
      <c r="A265" s="2">
        <v>429360152</v>
      </c>
      <c r="B265" s="2" t="s">
        <v>287</v>
      </c>
      <c r="C265" s="3" t="s">
        <v>17</v>
      </c>
      <c r="D265" s="3" t="s">
        <v>269</v>
      </c>
      <c r="E265" s="3">
        <v>18</v>
      </c>
      <c r="F265" s="3">
        <v>0.9</v>
      </c>
      <c r="G265" s="3">
        <f t="shared" si="24"/>
        <v>20</v>
      </c>
      <c r="H265" s="3">
        <v>482</v>
      </c>
      <c r="I265" s="4">
        <v>299.6112</v>
      </c>
      <c r="J265" s="4">
        <f t="shared" si="25"/>
        <v>253.9077966101695</v>
      </c>
      <c r="K265" s="5">
        <v>0</v>
      </c>
      <c r="L265" s="5">
        <f t="shared" si="26"/>
        <v>0</v>
      </c>
      <c r="M265" s="4">
        <f t="shared" si="27"/>
        <v>253.9077966101695</v>
      </c>
      <c r="N265" s="3"/>
      <c r="O265" s="4">
        <f t="shared" si="29"/>
        <v>253.9077966101695</v>
      </c>
      <c r="P265" s="6">
        <f t="shared" si="28"/>
        <v>299.6112</v>
      </c>
    </row>
    <row r="266" spans="1:16" x14ac:dyDescent="0.25">
      <c r="A266" s="2">
        <v>429360184</v>
      </c>
      <c r="B266" s="2" t="s">
        <v>288</v>
      </c>
      <c r="C266" s="3" t="s">
        <v>17</v>
      </c>
      <c r="D266" s="3" t="s">
        <v>269</v>
      </c>
      <c r="E266" s="3">
        <v>20</v>
      </c>
      <c r="F266" s="3">
        <v>1</v>
      </c>
      <c r="G266" s="3">
        <f t="shared" si="24"/>
        <v>20</v>
      </c>
      <c r="H266" s="3">
        <v>514</v>
      </c>
      <c r="I266" s="4">
        <v>319.39960000000002</v>
      </c>
      <c r="J266" s="4">
        <f t="shared" si="25"/>
        <v>270.67762711864412</v>
      </c>
      <c r="K266" s="5">
        <v>0</v>
      </c>
      <c r="L266" s="5">
        <f t="shared" si="26"/>
        <v>0</v>
      </c>
      <c r="M266" s="4">
        <f t="shared" si="27"/>
        <v>270.67762711864412</v>
      </c>
      <c r="N266" s="3"/>
      <c r="O266" s="4">
        <f t="shared" si="29"/>
        <v>270.67762711864412</v>
      </c>
      <c r="P266" s="6">
        <f t="shared" si="28"/>
        <v>319.39960000000008</v>
      </c>
    </row>
    <row r="267" spans="1:16" x14ac:dyDescent="0.25">
      <c r="A267" s="2">
        <v>429360229</v>
      </c>
      <c r="B267" s="2" t="s">
        <v>289</v>
      </c>
      <c r="C267" s="3" t="s">
        <v>17</v>
      </c>
      <c r="D267" s="3" t="s">
        <v>269</v>
      </c>
      <c r="E267" s="3">
        <v>20</v>
      </c>
      <c r="F267" s="3">
        <v>1</v>
      </c>
      <c r="G267" s="3">
        <f t="shared" si="24"/>
        <v>20</v>
      </c>
      <c r="H267" s="3">
        <v>514</v>
      </c>
      <c r="I267" s="4">
        <v>319.39960000000002</v>
      </c>
      <c r="J267" s="4">
        <f t="shared" si="25"/>
        <v>270.67762711864412</v>
      </c>
      <c r="K267" s="5">
        <v>15</v>
      </c>
      <c r="L267" s="5">
        <f t="shared" si="26"/>
        <v>15</v>
      </c>
      <c r="M267" s="4">
        <f t="shared" si="27"/>
        <v>255.67762711864412</v>
      </c>
      <c r="N267" s="3"/>
      <c r="O267" s="4">
        <f t="shared" si="29"/>
        <v>255.67762711864412</v>
      </c>
      <c r="P267" s="6">
        <f t="shared" si="28"/>
        <v>301.69960000000003</v>
      </c>
    </row>
    <row r="268" spans="1:16" x14ac:dyDescent="0.25">
      <c r="A268" s="2">
        <v>429360230</v>
      </c>
      <c r="B268" s="2" t="s">
        <v>290</v>
      </c>
      <c r="C268" s="3" t="s">
        <v>17</v>
      </c>
      <c r="D268" s="3" t="s">
        <v>269</v>
      </c>
      <c r="E268" s="3">
        <v>18</v>
      </c>
      <c r="F268" s="3">
        <v>0.9</v>
      </c>
      <c r="G268" s="3">
        <f t="shared" si="24"/>
        <v>20</v>
      </c>
      <c r="H268" s="3">
        <v>482</v>
      </c>
      <c r="I268" s="4">
        <v>299.6112</v>
      </c>
      <c r="J268" s="4">
        <f t="shared" si="25"/>
        <v>253.9077966101695</v>
      </c>
      <c r="K268" s="5">
        <v>15</v>
      </c>
      <c r="L268" s="5">
        <f t="shared" si="26"/>
        <v>13.5</v>
      </c>
      <c r="M268" s="4">
        <f t="shared" si="27"/>
        <v>240.4077966101695</v>
      </c>
      <c r="N268" s="3"/>
      <c r="O268" s="4">
        <f t="shared" si="29"/>
        <v>240.4077966101695</v>
      </c>
      <c r="P268" s="6">
        <f t="shared" si="28"/>
        <v>283.68119999999999</v>
      </c>
    </row>
    <row r="269" spans="1:16" x14ac:dyDescent="0.25">
      <c r="A269" s="2">
        <v>429510184</v>
      </c>
      <c r="B269" s="2" t="s">
        <v>291</v>
      </c>
      <c r="C269" s="3" t="s">
        <v>17</v>
      </c>
      <c r="D269" s="3" t="s">
        <v>269</v>
      </c>
      <c r="E269" s="3">
        <v>20</v>
      </c>
      <c r="F269" s="3">
        <v>1</v>
      </c>
      <c r="G269" s="3">
        <f t="shared" si="24"/>
        <v>20</v>
      </c>
      <c r="H269" s="3">
        <v>509</v>
      </c>
      <c r="I269" s="4">
        <v>325.96360000000004</v>
      </c>
      <c r="J269" s="4">
        <f t="shared" si="25"/>
        <v>276.24033898305089</v>
      </c>
      <c r="K269" s="5">
        <v>0</v>
      </c>
      <c r="L269" s="5">
        <f t="shared" si="26"/>
        <v>0</v>
      </c>
      <c r="M269" s="4">
        <f t="shared" si="27"/>
        <v>276.24033898305089</v>
      </c>
      <c r="N269" s="3"/>
      <c r="O269" s="4">
        <f t="shared" si="29"/>
        <v>276.24033898305089</v>
      </c>
      <c r="P269" s="6">
        <f t="shared" si="28"/>
        <v>325.96360000000004</v>
      </c>
    </row>
    <row r="270" spans="1:16" x14ac:dyDescent="0.25">
      <c r="A270" s="2">
        <v>429510229</v>
      </c>
      <c r="B270" s="2" t="s">
        <v>292</v>
      </c>
      <c r="C270" s="3" t="s">
        <v>17</v>
      </c>
      <c r="D270" s="3" t="s">
        <v>269</v>
      </c>
      <c r="E270" s="3">
        <v>20</v>
      </c>
      <c r="F270" s="3">
        <v>1</v>
      </c>
      <c r="G270" s="3">
        <f t="shared" si="24"/>
        <v>20</v>
      </c>
      <c r="H270" s="3">
        <v>509</v>
      </c>
      <c r="I270" s="4">
        <v>325.96360000000004</v>
      </c>
      <c r="J270" s="4">
        <f t="shared" si="25"/>
        <v>276.24033898305089</v>
      </c>
      <c r="K270" s="5">
        <v>15</v>
      </c>
      <c r="L270" s="5">
        <f t="shared" si="26"/>
        <v>15</v>
      </c>
      <c r="M270" s="4">
        <f t="shared" si="27"/>
        <v>261.24033898305089</v>
      </c>
      <c r="N270" s="3"/>
      <c r="O270" s="4">
        <f t="shared" si="29"/>
        <v>261.24033898305089</v>
      </c>
      <c r="P270" s="6">
        <f t="shared" si="28"/>
        <v>308.26360000000005</v>
      </c>
    </row>
    <row r="271" spans="1:16" x14ac:dyDescent="0.25">
      <c r="A271" s="2">
        <v>429510230</v>
      </c>
      <c r="B271" s="2" t="s">
        <v>293</v>
      </c>
      <c r="C271" s="3" t="s">
        <v>17</v>
      </c>
      <c r="D271" s="3" t="s">
        <v>269</v>
      </c>
      <c r="E271" s="3">
        <v>18</v>
      </c>
      <c r="F271" s="3">
        <v>0.9</v>
      </c>
      <c r="G271" s="3">
        <f t="shared" si="24"/>
        <v>20</v>
      </c>
      <c r="H271" s="3">
        <v>469</v>
      </c>
      <c r="I271" s="4">
        <v>300.20690000000002</v>
      </c>
      <c r="J271" s="4">
        <f t="shared" si="25"/>
        <v>254.41262711864411</v>
      </c>
      <c r="K271" s="5">
        <v>15</v>
      </c>
      <c r="L271" s="5">
        <f t="shared" si="26"/>
        <v>13.5</v>
      </c>
      <c r="M271" s="4">
        <f t="shared" si="27"/>
        <v>240.91262711864411</v>
      </c>
      <c r="N271" s="3"/>
      <c r="O271" s="4">
        <f t="shared" si="29"/>
        <v>240.91262711864411</v>
      </c>
      <c r="P271" s="6">
        <f t="shared" si="28"/>
        <v>284.27690000000001</v>
      </c>
    </row>
    <row r="272" spans="1:16" x14ac:dyDescent="0.25">
      <c r="A272" s="2">
        <v>449750184</v>
      </c>
      <c r="B272" s="2" t="s">
        <v>294</v>
      </c>
      <c r="C272" s="3" t="s">
        <v>17</v>
      </c>
      <c r="D272" s="3" t="s">
        <v>214</v>
      </c>
      <c r="E272" s="3">
        <v>20</v>
      </c>
      <c r="F272" s="3">
        <v>1</v>
      </c>
      <c r="G272" s="3">
        <f t="shared" si="24"/>
        <v>20</v>
      </c>
      <c r="H272" s="3">
        <v>508</v>
      </c>
      <c r="I272" s="4">
        <v>334.92440000000005</v>
      </c>
      <c r="J272" s="4">
        <f t="shared" si="25"/>
        <v>283.83423728813563</v>
      </c>
      <c r="K272" s="5">
        <v>30</v>
      </c>
      <c r="L272" s="5">
        <f t="shared" si="26"/>
        <v>30</v>
      </c>
      <c r="M272" s="4">
        <f t="shared" si="27"/>
        <v>253.83423728813563</v>
      </c>
      <c r="N272" s="3"/>
      <c r="O272" s="4">
        <f t="shared" si="29"/>
        <v>253.83423728813563</v>
      </c>
      <c r="P272" s="6">
        <f t="shared" si="28"/>
        <v>299.52440000000001</v>
      </c>
    </row>
    <row r="273" spans="1:16" x14ac:dyDescent="0.25">
      <c r="A273" s="2">
        <v>449750234</v>
      </c>
      <c r="B273" s="2" t="s">
        <v>295</v>
      </c>
      <c r="C273" s="3" t="s">
        <v>17</v>
      </c>
      <c r="D273" s="3" t="s">
        <v>214</v>
      </c>
      <c r="E273" s="3">
        <v>20</v>
      </c>
      <c r="F273" s="3">
        <v>5</v>
      </c>
      <c r="G273" s="3">
        <f t="shared" si="24"/>
        <v>4</v>
      </c>
      <c r="H273" s="3">
        <v>2477</v>
      </c>
      <c r="I273" s="4">
        <v>1651.9113</v>
      </c>
      <c r="J273" s="4">
        <f t="shared" si="25"/>
        <v>1399.9248305084745</v>
      </c>
      <c r="K273" s="5">
        <v>0</v>
      </c>
      <c r="L273" s="5">
        <f t="shared" si="26"/>
        <v>0</v>
      </c>
      <c r="M273" s="4">
        <f t="shared" si="27"/>
        <v>1399.9248305084745</v>
      </c>
      <c r="N273" s="3"/>
      <c r="O273" s="4">
        <f t="shared" si="29"/>
        <v>1399.9248305084745</v>
      </c>
      <c r="P273" s="6">
        <f t="shared" si="28"/>
        <v>1651.9113</v>
      </c>
    </row>
    <row r="274" spans="1:16" x14ac:dyDescent="0.25">
      <c r="A274" s="2">
        <v>449750240</v>
      </c>
      <c r="B274" s="2" t="s">
        <v>296</v>
      </c>
      <c r="C274" s="3" t="s">
        <v>17</v>
      </c>
      <c r="D274" s="3" t="s">
        <v>214</v>
      </c>
      <c r="E274" s="3">
        <v>20</v>
      </c>
      <c r="F274" s="3">
        <v>5</v>
      </c>
      <c r="G274" s="3">
        <f t="shared" si="24"/>
        <v>4</v>
      </c>
      <c r="H274" s="3">
        <v>2477</v>
      </c>
      <c r="I274" s="4">
        <v>1651.9113</v>
      </c>
      <c r="J274" s="4">
        <f t="shared" si="25"/>
        <v>1399.9248305084745</v>
      </c>
      <c r="K274" s="5">
        <v>30</v>
      </c>
      <c r="L274" s="5">
        <f t="shared" si="26"/>
        <v>150</v>
      </c>
      <c r="M274" s="4">
        <f t="shared" si="27"/>
        <v>1249.9248305084745</v>
      </c>
      <c r="N274" s="3"/>
      <c r="O274" s="4">
        <f t="shared" si="29"/>
        <v>1249.9248305084745</v>
      </c>
      <c r="P274" s="6">
        <f t="shared" si="28"/>
        <v>1474.9113</v>
      </c>
    </row>
    <row r="275" spans="1:16" x14ac:dyDescent="0.25">
      <c r="A275" s="2">
        <v>449750265</v>
      </c>
      <c r="B275" s="2" t="s">
        <v>297</v>
      </c>
      <c r="C275" s="3" t="s">
        <v>22</v>
      </c>
      <c r="D275" s="3" t="s">
        <v>214</v>
      </c>
      <c r="E275" s="3">
        <v>20</v>
      </c>
      <c r="F275" s="3">
        <v>20</v>
      </c>
      <c r="G275" s="3">
        <f t="shared" si="24"/>
        <v>1</v>
      </c>
      <c r="H275" s="3">
        <v>9830</v>
      </c>
      <c r="I275" s="4">
        <v>6558.576</v>
      </c>
      <c r="J275" s="4">
        <f t="shared" si="25"/>
        <v>5558.1152542372884</v>
      </c>
      <c r="K275" s="5">
        <v>0</v>
      </c>
      <c r="L275" s="5">
        <f t="shared" si="26"/>
        <v>0</v>
      </c>
      <c r="M275" s="4">
        <f t="shared" si="27"/>
        <v>5558.1152542372884</v>
      </c>
      <c r="N275" s="3"/>
      <c r="O275" s="4">
        <f t="shared" si="29"/>
        <v>5558.1152542372884</v>
      </c>
      <c r="P275" s="6">
        <f t="shared" si="28"/>
        <v>6558.576</v>
      </c>
    </row>
    <row r="276" spans="1:16" x14ac:dyDescent="0.25">
      <c r="A276" s="2">
        <v>449750269</v>
      </c>
      <c r="B276" s="2" t="s">
        <v>298</v>
      </c>
      <c r="C276" s="3" t="s">
        <v>22</v>
      </c>
      <c r="D276" s="3" t="s">
        <v>214</v>
      </c>
      <c r="E276" s="3">
        <v>20</v>
      </c>
      <c r="F276" s="3">
        <v>20</v>
      </c>
      <c r="G276" s="3">
        <f t="shared" si="24"/>
        <v>1</v>
      </c>
      <c r="H276" s="3">
        <v>9830</v>
      </c>
      <c r="I276" s="4">
        <v>6558.576</v>
      </c>
      <c r="J276" s="4">
        <f t="shared" si="25"/>
        <v>5558.1152542372884</v>
      </c>
      <c r="K276" s="5">
        <v>40</v>
      </c>
      <c r="L276" s="5">
        <f t="shared" si="26"/>
        <v>800</v>
      </c>
      <c r="M276" s="4">
        <f t="shared" si="27"/>
        <v>4758.1152542372884</v>
      </c>
      <c r="N276" s="3"/>
      <c r="O276" s="4">
        <f t="shared" si="29"/>
        <v>4758.1152542372884</v>
      </c>
      <c r="P276" s="6">
        <f t="shared" si="28"/>
        <v>5614.576</v>
      </c>
    </row>
    <row r="277" spans="1:16" x14ac:dyDescent="0.25">
      <c r="A277" s="2">
        <v>471020111</v>
      </c>
      <c r="B277" s="2" t="s">
        <v>299</v>
      </c>
      <c r="C277" s="3" t="s">
        <v>17</v>
      </c>
      <c r="D277" s="3" t="s">
        <v>205</v>
      </c>
      <c r="E277" s="3">
        <v>14</v>
      </c>
      <c r="F277" s="3">
        <v>3.5</v>
      </c>
      <c r="G277" s="3">
        <f t="shared" si="24"/>
        <v>4</v>
      </c>
      <c r="H277" s="3">
        <v>2198</v>
      </c>
      <c r="I277" s="4">
        <v>1389.5755999999999</v>
      </c>
      <c r="J277" s="4">
        <f t="shared" si="25"/>
        <v>1177.606440677966</v>
      </c>
      <c r="K277" s="5">
        <v>15</v>
      </c>
      <c r="L277" s="5">
        <f t="shared" si="26"/>
        <v>52.5</v>
      </c>
      <c r="M277" s="4">
        <f t="shared" si="27"/>
        <v>1125.106440677966</v>
      </c>
      <c r="N277" s="3"/>
      <c r="O277" s="4">
        <f t="shared" si="29"/>
        <v>1125.106440677966</v>
      </c>
      <c r="P277" s="6">
        <f t="shared" si="28"/>
        <v>1327.6255999999998</v>
      </c>
    </row>
    <row r="278" spans="1:16" x14ac:dyDescent="0.25">
      <c r="A278" s="2">
        <v>471020184</v>
      </c>
      <c r="B278" s="2" t="s">
        <v>300</v>
      </c>
      <c r="C278" s="3" t="s">
        <v>17</v>
      </c>
      <c r="D278" s="3" t="s">
        <v>205</v>
      </c>
      <c r="E278" s="3">
        <v>20</v>
      </c>
      <c r="F278" s="3">
        <v>1</v>
      </c>
      <c r="G278" s="3">
        <f t="shared" si="24"/>
        <v>20</v>
      </c>
      <c r="H278" s="3">
        <v>634</v>
      </c>
      <c r="I278" s="4">
        <v>400.56120000000004</v>
      </c>
      <c r="J278" s="4">
        <f t="shared" si="25"/>
        <v>339.45864406779668</v>
      </c>
      <c r="K278" s="5">
        <v>15</v>
      </c>
      <c r="L278" s="5">
        <f t="shared" si="26"/>
        <v>15</v>
      </c>
      <c r="M278" s="4">
        <f t="shared" si="27"/>
        <v>324.45864406779668</v>
      </c>
      <c r="N278" s="3"/>
      <c r="O278" s="4">
        <f t="shared" si="29"/>
        <v>324.45864406779668</v>
      </c>
      <c r="P278" s="6">
        <f t="shared" si="28"/>
        <v>382.86120000000005</v>
      </c>
    </row>
    <row r="279" spans="1:16" x14ac:dyDescent="0.25">
      <c r="A279" s="2">
        <v>471020203</v>
      </c>
      <c r="B279" s="2" t="s">
        <v>301</v>
      </c>
      <c r="C279" s="3" t="s">
        <v>17</v>
      </c>
      <c r="D279" s="3" t="s">
        <v>205</v>
      </c>
      <c r="E279" s="3">
        <v>12</v>
      </c>
      <c r="F279" s="3">
        <v>3</v>
      </c>
      <c r="G279" s="3">
        <f t="shared" si="24"/>
        <v>4</v>
      </c>
      <c r="H279" s="3">
        <v>1895</v>
      </c>
      <c r="I279" s="4">
        <v>1198.019</v>
      </c>
      <c r="J279" s="4">
        <f t="shared" si="25"/>
        <v>1015.2703389830509</v>
      </c>
      <c r="K279" s="5">
        <v>0</v>
      </c>
      <c r="L279" s="5">
        <f t="shared" si="26"/>
        <v>0</v>
      </c>
      <c r="M279" s="4">
        <f t="shared" si="27"/>
        <v>1015.2703389830509</v>
      </c>
      <c r="N279" s="3"/>
      <c r="O279" s="4">
        <f t="shared" si="29"/>
        <v>1015.2703389830509</v>
      </c>
      <c r="P279" s="6">
        <f t="shared" si="28"/>
        <v>1198.019</v>
      </c>
    </row>
    <row r="280" spans="1:16" x14ac:dyDescent="0.25">
      <c r="A280" s="2">
        <v>471020204</v>
      </c>
      <c r="B280" s="2" t="s">
        <v>302</v>
      </c>
      <c r="C280" s="3" t="s">
        <v>17</v>
      </c>
      <c r="D280" s="3" t="s">
        <v>205</v>
      </c>
      <c r="E280" s="3">
        <v>12</v>
      </c>
      <c r="F280" s="3">
        <v>3</v>
      </c>
      <c r="G280" s="3">
        <f t="shared" si="24"/>
        <v>4</v>
      </c>
      <c r="H280" s="3">
        <v>1895</v>
      </c>
      <c r="I280" s="4">
        <v>1198.019</v>
      </c>
      <c r="J280" s="4">
        <f t="shared" si="25"/>
        <v>1015.2703389830509</v>
      </c>
      <c r="K280" s="5">
        <v>15</v>
      </c>
      <c r="L280" s="5">
        <f t="shared" si="26"/>
        <v>45</v>
      </c>
      <c r="M280" s="4">
        <f t="shared" si="27"/>
        <v>970.27033898305092</v>
      </c>
      <c r="N280" s="3"/>
      <c r="O280" s="4">
        <f t="shared" si="29"/>
        <v>970.27033898305092</v>
      </c>
      <c r="P280" s="6">
        <f t="shared" si="28"/>
        <v>1144.9190000000001</v>
      </c>
    </row>
    <row r="281" spans="1:16" x14ac:dyDescent="0.25">
      <c r="A281" s="2">
        <v>471020213</v>
      </c>
      <c r="B281" s="2" t="s">
        <v>303</v>
      </c>
      <c r="C281" s="3" t="s">
        <v>17</v>
      </c>
      <c r="D281" s="3" t="s">
        <v>205</v>
      </c>
      <c r="E281" s="3">
        <v>14</v>
      </c>
      <c r="F281" s="3">
        <v>3.5</v>
      </c>
      <c r="G281" s="3">
        <f t="shared" si="24"/>
        <v>4</v>
      </c>
      <c r="H281" s="3">
        <v>2198</v>
      </c>
      <c r="I281" s="4">
        <v>1389.5755999999999</v>
      </c>
      <c r="J281" s="4">
        <f t="shared" si="25"/>
        <v>1177.606440677966</v>
      </c>
      <c r="K281" s="5">
        <v>0</v>
      </c>
      <c r="L281" s="5">
        <f t="shared" si="26"/>
        <v>0</v>
      </c>
      <c r="M281" s="4">
        <f t="shared" si="27"/>
        <v>1177.606440677966</v>
      </c>
      <c r="N281" s="3"/>
      <c r="O281" s="4">
        <f t="shared" si="29"/>
        <v>1177.606440677966</v>
      </c>
      <c r="P281" s="6">
        <f t="shared" si="28"/>
        <v>1389.5755999999999</v>
      </c>
    </row>
    <row r="282" spans="1:16" x14ac:dyDescent="0.25">
      <c r="A282" s="2">
        <v>471020220</v>
      </c>
      <c r="B282" s="2" t="s">
        <v>304</v>
      </c>
      <c r="C282" s="3" t="s">
        <v>17</v>
      </c>
      <c r="D282" s="3" t="s">
        <v>205</v>
      </c>
      <c r="E282" s="3">
        <v>16</v>
      </c>
      <c r="F282" s="3">
        <v>4</v>
      </c>
      <c r="G282" s="3">
        <f t="shared" si="24"/>
        <v>4</v>
      </c>
      <c r="H282" s="3">
        <v>2512</v>
      </c>
      <c r="I282" s="4">
        <v>1588.0863999999999</v>
      </c>
      <c r="J282" s="4">
        <f t="shared" si="25"/>
        <v>1345.8359322033898</v>
      </c>
      <c r="K282" s="5">
        <v>15</v>
      </c>
      <c r="L282" s="5">
        <f t="shared" si="26"/>
        <v>60</v>
      </c>
      <c r="M282" s="4">
        <f t="shared" si="27"/>
        <v>1285.8359322033898</v>
      </c>
      <c r="N282" s="3"/>
      <c r="O282" s="4">
        <f t="shared" si="29"/>
        <v>1285.8359322033898</v>
      </c>
      <c r="P282" s="6">
        <f t="shared" si="28"/>
        <v>1517.2864</v>
      </c>
    </row>
    <row r="283" spans="1:16" x14ac:dyDescent="0.25">
      <c r="A283" s="2">
        <v>471020222</v>
      </c>
      <c r="B283" s="2" t="s">
        <v>305</v>
      </c>
      <c r="C283" s="3" t="s">
        <v>17</v>
      </c>
      <c r="D283" s="3" t="s">
        <v>205</v>
      </c>
      <c r="E283" s="3">
        <v>16</v>
      </c>
      <c r="F283" s="3">
        <v>4</v>
      </c>
      <c r="G283" s="3">
        <f t="shared" si="24"/>
        <v>4</v>
      </c>
      <c r="H283" s="3">
        <v>2512</v>
      </c>
      <c r="I283" s="4">
        <v>1588.0863999999999</v>
      </c>
      <c r="J283" s="4">
        <f t="shared" si="25"/>
        <v>1345.8359322033898</v>
      </c>
      <c r="K283" s="5">
        <v>0</v>
      </c>
      <c r="L283" s="5">
        <f t="shared" si="26"/>
        <v>0</v>
      </c>
      <c r="M283" s="4">
        <f t="shared" si="27"/>
        <v>1345.8359322033898</v>
      </c>
      <c r="N283" s="3"/>
      <c r="O283" s="4">
        <f t="shared" si="29"/>
        <v>1345.8359322033898</v>
      </c>
      <c r="P283" s="6">
        <f t="shared" si="28"/>
        <v>1588.0863999999999</v>
      </c>
    </row>
    <row r="284" spans="1:16" x14ac:dyDescent="0.25">
      <c r="A284" s="2">
        <v>471020229</v>
      </c>
      <c r="B284" s="2" t="s">
        <v>306</v>
      </c>
      <c r="C284" s="3" t="s">
        <v>17</v>
      </c>
      <c r="D284" s="3" t="s">
        <v>205</v>
      </c>
      <c r="E284" s="3">
        <v>20</v>
      </c>
      <c r="F284" s="3">
        <v>1</v>
      </c>
      <c r="G284" s="3">
        <f t="shared" si="24"/>
        <v>20</v>
      </c>
      <c r="H284" s="3">
        <v>634</v>
      </c>
      <c r="I284" s="4">
        <v>400.56120000000004</v>
      </c>
      <c r="J284" s="4">
        <f t="shared" si="25"/>
        <v>339.45864406779668</v>
      </c>
      <c r="K284" s="5">
        <v>0</v>
      </c>
      <c r="L284" s="5">
        <f t="shared" si="26"/>
        <v>0</v>
      </c>
      <c r="M284" s="4">
        <f t="shared" si="27"/>
        <v>339.45864406779668</v>
      </c>
      <c r="N284" s="3"/>
      <c r="O284" s="4">
        <f t="shared" si="29"/>
        <v>339.45864406779668</v>
      </c>
      <c r="P284" s="6">
        <f t="shared" si="28"/>
        <v>400.56120000000004</v>
      </c>
    </row>
    <row r="285" spans="1:16" x14ac:dyDescent="0.25">
      <c r="A285" s="2">
        <v>471020234</v>
      </c>
      <c r="B285" s="2" t="s">
        <v>307</v>
      </c>
      <c r="C285" s="3" t="s">
        <v>17</v>
      </c>
      <c r="D285" s="3" t="s">
        <v>205</v>
      </c>
      <c r="E285" s="3">
        <v>20</v>
      </c>
      <c r="F285" s="3">
        <v>5</v>
      </c>
      <c r="G285" s="3">
        <f t="shared" si="24"/>
        <v>4</v>
      </c>
      <c r="H285" s="3">
        <v>3139</v>
      </c>
      <c r="I285" s="4">
        <v>1985.1036000000001</v>
      </c>
      <c r="J285" s="4">
        <f t="shared" si="25"/>
        <v>1682.2911864406781</v>
      </c>
      <c r="K285" s="5">
        <v>0</v>
      </c>
      <c r="L285" s="5">
        <f t="shared" si="26"/>
        <v>0</v>
      </c>
      <c r="M285" s="4">
        <f t="shared" si="27"/>
        <v>1682.2911864406781</v>
      </c>
      <c r="N285" s="3"/>
      <c r="O285" s="4">
        <f t="shared" si="29"/>
        <v>1682.2911864406781</v>
      </c>
      <c r="P285" s="6">
        <f t="shared" si="28"/>
        <v>1985.1035999999999</v>
      </c>
    </row>
    <row r="286" spans="1:16" x14ac:dyDescent="0.25">
      <c r="A286" s="2">
        <v>471020240</v>
      </c>
      <c r="B286" s="2" t="s">
        <v>308</v>
      </c>
      <c r="C286" s="3" t="s">
        <v>17</v>
      </c>
      <c r="D286" s="3" t="s">
        <v>205</v>
      </c>
      <c r="E286" s="3">
        <v>20</v>
      </c>
      <c r="F286" s="3">
        <v>5</v>
      </c>
      <c r="G286" s="3">
        <f t="shared" si="24"/>
        <v>4</v>
      </c>
      <c r="H286" s="3">
        <v>3139</v>
      </c>
      <c r="I286" s="4">
        <v>1985.1036000000001</v>
      </c>
      <c r="J286" s="4">
        <f t="shared" si="25"/>
        <v>1682.2911864406781</v>
      </c>
      <c r="K286" s="5">
        <v>15</v>
      </c>
      <c r="L286" s="5">
        <f t="shared" si="26"/>
        <v>75</v>
      </c>
      <c r="M286" s="4">
        <f t="shared" si="27"/>
        <v>1607.2911864406781</v>
      </c>
      <c r="N286" s="3"/>
      <c r="O286" s="4">
        <f t="shared" si="29"/>
        <v>1607.2911864406781</v>
      </c>
      <c r="P286" s="6">
        <f t="shared" si="28"/>
        <v>1896.6036000000001</v>
      </c>
    </row>
    <row r="287" spans="1:16" x14ac:dyDescent="0.25">
      <c r="A287" s="2">
        <v>473250184</v>
      </c>
      <c r="B287" s="2" t="s">
        <v>309</v>
      </c>
      <c r="C287" s="3" t="s">
        <v>17</v>
      </c>
      <c r="D287" s="3" t="s">
        <v>205</v>
      </c>
      <c r="E287" s="3">
        <v>20</v>
      </c>
      <c r="F287" s="3">
        <v>1</v>
      </c>
      <c r="G287" s="3">
        <f t="shared" si="24"/>
        <v>20</v>
      </c>
      <c r="H287" s="3">
        <v>422</v>
      </c>
      <c r="I287" s="4">
        <v>290.88460000000003</v>
      </c>
      <c r="J287" s="4">
        <f t="shared" si="25"/>
        <v>246.51237288135599</v>
      </c>
      <c r="K287" s="5">
        <v>20</v>
      </c>
      <c r="L287" s="5">
        <f t="shared" si="26"/>
        <v>20</v>
      </c>
      <c r="M287" s="4">
        <f t="shared" si="27"/>
        <v>226.51237288135599</v>
      </c>
      <c r="N287" s="3"/>
      <c r="O287" s="4">
        <f t="shared" si="29"/>
        <v>226.51237288135599</v>
      </c>
      <c r="P287" s="6">
        <f t="shared" si="28"/>
        <v>267.28460000000007</v>
      </c>
    </row>
    <row r="288" spans="1:16" x14ac:dyDescent="0.25">
      <c r="A288" s="2">
        <v>473250203</v>
      </c>
      <c r="B288" s="2" t="s">
        <v>310</v>
      </c>
      <c r="C288" s="3" t="s">
        <v>17</v>
      </c>
      <c r="D288" s="3" t="s">
        <v>205</v>
      </c>
      <c r="E288" s="3">
        <v>12</v>
      </c>
      <c r="F288" s="3">
        <v>3</v>
      </c>
      <c r="G288" s="3">
        <f t="shared" si="24"/>
        <v>4</v>
      </c>
      <c r="H288" s="3">
        <v>1244</v>
      </c>
      <c r="I288" s="4">
        <v>857.9867999999999</v>
      </c>
      <c r="J288" s="4">
        <f t="shared" si="25"/>
        <v>727.10745762711861</v>
      </c>
      <c r="K288" s="5">
        <v>0</v>
      </c>
      <c r="L288" s="5">
        <f t="shared" si="26"/>
        <v>0</v>
      </c>
      <c r="M288" s="4">
        <f t="shared" si="27"/>
        <v>727.10745762711861</v>
      </c>
      <c r="N288" s="3"/>
      <c r="O288" s="4">
        <f t="shared" si="29"/>
        <v>727.10745762711861</v>
      </c>
      <c r="P288" s="6">
        <f t="shared" si="28"/>
        <v>857.9867999999999</v>
      </c>
    </row>
    <row r="289" spans="1:16" x14ac:dyDescent="0.25">
      <c r="A289" s="2">
        <v>473250204</v>
      </c>
      <c r="B289" s="2" t="s">
        <v>311</v>
      </c>
      <c r="C289" s="3" t="s">
        <v>17</v>
      </c>
      <c r="D289" s="3" t="s">
        <v>205</v>
      </c>
      <c r="E289" s="3">
        <v>12</v>
      </c>
      <c r="F289" s="3">
        <v>3</v>
      </c>
      <c r="G289" s="3">
        <f t="shared" si="24"/>
        <v>4</v>
      </c>
      <c r="H289" s="3">
        <v>1244</v>
      </c>
      <c r="I289" s="4">
        <v>857.9867999999999</v>
      </c>
      <c r="J289" s="4">
        <f t="shared" si="25"/>
        <v>727.10745762711861</v>
      </c>
      <c r="K289" s="5">
        <v>20</v>
      </c>
      <c r="L289" s="5">
        <f t="shared" si="26"/>
        <v>60</v>
      </c>
      <c r="M289" s="4">
        <f t="shared" si="27"/>
        <v>667.10745762711861</v>
      </c>
      <c r="N289" s="3"/>
      <c r="O289" s="4">
        <f t="shared" si="29"/>
        <v>667.10745762711861</v>
      </c>
      <c r="P289" s="6">
        <f t="shared" si="28"/>
        <v>787.18679999999995</v>
      </c>
    </row>
    <row r="290" spans="1:16" x14ac:dyDescent="0.25">
      <c r="A290" s="2">
        <v>473250234</v>
      </c>
      <c r="B290" s="2" t="s">
        <v>312</v>
      </c>
      <c r="C290" s="3" t="s">
        <v>17</v>
      </c>
      <c r="D290" s="3" t="s">
        <v>205</v>
      </c>
      <c r="E290" s="3">
        <v>20</v>
      </c>
      <c r="F290" s="3">
        <v>5</v>
      </c>
      <c r="G290" s="3">
        <f t="shared" si="24"/>
        <v>4</v>
      </c>
      <c r="H290" s="3">
        <v>2067</v>
      </c>
      <c r="I290" s="4">
        <v>1426.23</v>
      </c>
      <c r="J290" s="4">
        <f t="shared" si="25"/>
        <v>1208.6694915254238</v>
      </c>
      <c r="K290" s="5">
        <v>0</v>
      </c>
      <c r="L290" s="5">
        <f t="shared" si="26"/>
        <v>0</v>
      </c>
      <c r="M290" s="4">
        <f t="shared" si="27"/>
        <v>1208.6694915254238</v>
      </c>
      <c r="N290" s="3"/>
      <c r="O290" s="4">
        <f t="shared" si="29"/>
        <v>1208.6694915254238</v>
      </c>
      <c r="P290" s="6">
        <f t="shared" si="28"/>
        <v>1426.23</v>
      </c>
    </row>
    <row r="291" spans="1:16" x14ac:dyDescent="0.25">
      <c r="A291" s="2">
        <v>473250240</v>
      </c>
      <c r="B291" s="2" t="s">
        <v>313</v>
      </c>
      <c r="C291" s="3" t="s">
        <v>17</v>
      </c>
      <c r="D291" s="3" t="s">
        <v>205</v>
      </c>
      <c r="E291" s="3">
        <v>20</v>
      </c>
      <c r="F291" s="3">
        <v>5</v>
      </c>
      <c r="G291" s="3">
        <f t="shared" si="24"/>
        <v>4</v>
      </c>
      <c r="H291" s="3">
        <v>2067</v>
      </c>
      <c r="I291" s="4">
        <v>1426.23</v>
      </c>
      <c r="J291" s="4">
        <f t="shared" si="25"/>
        <v>1208.6694915254238</v>
      </c>
      <c r="K291" s="5">
        <v>20</v>
      </c>
      <c r="L291" s="5">
        <f t="shared" si="26"/>
        <v>100</v>
      </c>
      <c r="M291" s="4">
        <f t="shared" si="27"/>
        <v>1108.6694915254238</v>
      </c>
      <c r="N291" s="3"/>
      <c r="O291" s="4">
        <f t="shared" si="29"/>
        <v>1108.6694915254238</v>
      </c>
      <c r="P291" s="6">
        <f t="shared" si="28"/>
        <v>1308.23</v>
      </c>
    </row>
    <row r="292" spans="1:16" x14ac:dyDescent="0.25">
      <c r="A292" s="2">
        <v>473250241</v>
      </c>
      <c r="B292" s="2" t="s">
        <v>314</v>
      </c>
      <c r="C292" s="3" t="s">
        <v>22</v>
      </c>
      <c r="D292" s="3" t="s">
        <v>205</v>
      </c>
      <c r="E292" s="3">
        <v>10</v>
      </c>
      <c r="F292" s="3">
        <v>10</v>
      </c>
      <c r="G292" s="3">
        <f t="shared" si="24"/>
        <v>1</v>
      </c>
      <c r="H292" s="3">
        <v>4132</v>
      </c>
      <c r="I292" s="4">
        <v>2852.3196000000003</v>
      </c>
      <c r="J292" s="4">
        <f t="shared" si="25"/>
        <v>2417.2200000000003</v>
      </c>
      <c r="K292" s="5">
        <v>20</v>
      </c>
      <c r="L292" s="5">
        <f t="shared" si="26"/>
        <v>200</v>
      </c>
      <c r="M292" s="4">
        <f t="shared" si="27"/>
        <v>2217.2200000000003</v>
      </c>
      <c r="N292" s="3"/>
      <c r="O292" s="4">
        <f t="shared" si="29"/>
        <v>2217.2200000000003</v>
      </c>
      <c r="P292" s="6">
        <f t="shared" si="28"/>
        <v>2616.3196000000003</v>
      </c>
    </row>
    <row r="293" spans="1:16" x14ac:dyDescent="0.25">
      <c r="A293" s="2">
        <v>473250242</v>
      </c>
      <c r="B293" s="2" t="s">
        <v>315</v>
      </c>
      <c r="C293" s="3" t="s">
        <v>22</v>
      </c>
      <c r="D293" s="3" t="s">
        <v>205</v>
      </c>
      <c r="E293" s="3">
        <v>10</v>
      </c>
      <c r="F293" s="3">
        <v>10</v>
      </c>
      <c r="G293" s="3">
        <f t="shared" si="24"/>
        <v>1</v>
      </c>
      <c r="H293" s="3">
        <v>4132</v>
      </c>
      <c r="I293" s="4">
        <v>2852.3196000000003</v>
      </c>
      <c r="J293" s="4">
        <f t="shared" si="25"/>
        <v>2417.2200000000003</v>
      </c>
      <c r="K293" s="5">
        <v>0</v>
      </c>
      <c r="L293" s="5">
        <f t="shared" si="26"/>
        <v>0</v>
      </c>
      <c r="M293" s="4">
        <f t="shared" si="27"/>
        <v>2417.2200000000003</v>
      </c>
      <c r="N293" s="3"/>
      <c r="O293" s="4">
        <f t="shared" si="29"/>
        <v>2417.2200000000003</v>
      </c>
      <c r="P293" s="6">
        <f t="shared" si="28"/>
        <v>2852.3196000000003</v>
      </c>
    </row>
    <row r="294" spans="1:16" x14ac:dyDescent="0.25">
      <c r="A294" s="2">
        <v>473250250</v>
      </c>
      <c r="B294" s="2" t="s">
        <v>316</v>
      </c>
      <c r="C294" s="3" t="s">
        <v>22</v>
      </c>
      <c r="D294" s="3" t="s">
        <v>205</v>
      </c>
      <c r="E294" s="3">
        <v>7.5</v>
      </c>
      <c r="F294" s="3">
        <v>7.5</v>
      </c>
      <c r="G294" s="3">
        <f t="shared" si="24"/>
        <v>1</v>
      </c>
      <c r="H294" s="3">
        <v>3092</v>
      </c>
      <c r="I294" s="4">
        <v>2134.4076</v>
      </c>
      <c r="J294" s="4">
        <f t="shared" si="25"/>
        <v>1808.8200000000002</v>
      </c>
      <c r="K294" s="5">
        <v>20</v>
      </c>
      <c r="L294" s="5">
        <f t="shared" si="26"/>
        <v>150</v>
      </c>
      <c r="M294" s="4">
        <f t="shared" si="27"/>
        <v>1658.8200000000002</v>
      </c>
      <c r="N294" s="3"/>
      <c r="O294" s="4">
        <f t="shared" si="29"/>
        <v>1658.8200000000002</v>
      </c>
      <c r="P294" s="6">
        <f t="shared" si="28"/>
        <v>1957.4076</v>
      </c>
    </row>
    <row r="295" spans="1:16" x14ac:dyDescent="0.25">
      <c r="A295" s="2">
        <v>473250251</v>
      </c>
      <c r="B295" s="2" t="s">
        <v>317</v>
      </c>
      <c r="C295" s="3" t="s">
        <v>22</v>
      </c>
      <c r="D295" s="3" t="s">
        <v>205</v>
      </c>
      <c r="E295" s="3">
        <v>7.5</v>
      </c>
      <c r="F295" s="3">
        <v>7.5</v>
      </c>
      <c r="G295" s="3">
        <f t="shared" si="24"/>
        <v>1</v>
      </c>
      <c r="H295" s="3">
        <v>3092</v>
      </c>
      <c r="I295" s="4">
        <v>2134.4076</v>
      </c>
      <c r="J295" s="4">
        <f t="shared" si="25"/>
        <v>1808.8200000000002</v>
      </c>
      <c r="K295" s="5">
        <v>0</v>
      </c>
      <c r="L295" s="5">
        <f t="shared" si="26"/>
        <v>0</v>
      </c>
      <c r="M295" s="4">
        <f t="shared" si="27"/>
        <v>1808.8200000000002</v>
      </c>
      <c r="N295" s="3"/>
      <c r="O295" s="4">
        <f t="shared" si="29"/>
        <v>1808.8200000000002</v>
      </c>
      <c r="P295" s="6">
        <f t="shared" si="28"/>
        <v>2134.4076</v>
      </c>
    </row>
    <row r="296" spans="1:16" x14ac:dyDescent="0.25">
      <c r="A296" s="2">
        <v>473250253</v>
      </c>
      <c r="B296" s="2" t="s">
        <v>318</v>
      </c>
      <c r="C296" s="3" t="s">
        <v>22</v>
      </c>
      <c r="D296" s="3" t="s">
        <v>205</v>
      </c>
      <c r="E296" s="3">
        <v>15</v>
      </c>
      <c r="F296" s="3">
        <v>15</v>
      </c>
      <c r="G296" s="3">
        <f t="shared" si="24"/>
        <v>1</v>
      </c>
      <c r="H296" s="3">
        <v>6152</v>
      </c>
      <c r="I296" s="4">
        <v>4246.7255999999998</v>
      </c>
      <c r="J296" s="4">
        <f t="shared" si="25"/>
        <v>3598.92</v>
      </c>
      <c r="K296" s="5">
        <v>20</v>
      </c>
      <c r="L296" s="5">
        <f t="shared" si="26"/>
        <v>300</v>
      </c>
      <c r="M296" s="4">
        <f t="shared" si="27"/>
        <v>3298.92</v>
      </c>
      <c r="N296" s="3"/>
      <c r="O296" s="4">
        <f t="shared" si="29"/>
        <v>3298.92</v>
      </c>
      <c r="P296" s="6">
        <f t="shared" si="28"/>
        <v>3892.7255999999998</v>
      </c>
    </row>
    <row r="297" spans="1:16" x14ac:dyDescent="0.25">
      <c r="A297" s="2">
        <v>473250256</v>
      </c>
      <c r="B297" s="2" t="s">
        <v>319</v>
      </c>
      <c r="C297" s="3" t="s">
        <v>22</v>
      </c>
      <c r="D297" s="3" t="s">
        <v>205</v>
      </c>
      <c r="E297" s="3">
        <v>15</v>
      </c>
      <c r="F297" s="3">
        <v>15</v>
      </c>
      <c r="G297" s="3">
        <f t="shared" si="24"/>
        <v>1</v>
      </c>
      <c r="H297" s="3">
        <v>6152</v>
      </c>
      <c r="I297" s="4">
        <v>4246.7255999999998</v>
      </c>
      <c r="J297" s="4">
        <f t="shared" si="25"/>
        <v>3598.92</v>
      </c>
      <c r="K297" s="5">
        <v>0</v>
      </c>
      <c r="L297" s="5">
        <f t="shared" si="26"/>
        <v>0</v>
      </c>
      <c r="M297" s="4">
        <f t="shared" si="27"/>
        <v>3598.92</v>
      </c>
      <c r="N297" s="3"/>
      <c r="O297" s="4">
        <f t="shared" si="29"/>
        <v>3598.92</v>
      </c>
      <c r="P297" s="6">
        <f t="shared" si="28"/>
        <v>4246.7255999999998</v>
      </c>
    </row>
    <row r="298" spans="1:16" x14ac:dyDescent="0.25">
      <c r="A298" s="2">
        <v>473250265</v>
      </c>
      <c r="B298" s="2" t="s">
        <v>320</v>
      </c>
      <c r="C298" s="3" t="s">
        <v>22</v>
      </c>
      <c r="D298" s="3" t="s">
        <v>205</v>
      </c>
      <c r="E298" s="3">
        <v>20</v>
      </c>
      <c r="F298" s="3">
        <v>20</v>
      </c>
      <c r="G298" s="3">
        <f t="shared" si="24"/>
        <v>1</v>
      </c>
      <c r="H298" s="3">
        <v>8193</v>
      </c>
      <c r="I298" s="4">
        <v>5656.4472000000014</v>
      </c>
      <c r="J298" s="4">
        <f t="shared" si="25"/>
        <v>4793.5993220338996</v>
      </c>
      <c r="K298" s="5">
        <v>0</v>
      </c>
      <c r="L298" s="5">
        <f t="shared" si="26"/>
        <v>0</v>
      </c>
      <c r="M298" s="4">
        <f t="shared" si="27"/>
        <v>4793.5993220338996</v>
      </c>
      <c r="N298" s="3"/>
      <c r="O298" s="4">
        <f t="shared" si="29"/>
        <v>4793.5993220338996</v>
      </c>
      <c r="P298" s="6">
        <f t="shared" si="28"/>
        <v>5656.4472000000014</v>
      </c>
    </row>
    <row r="299" spans="1:16" x14ac:dyDescent="0.25">
      <c r="A299" s="2">
        <v>473250269</v>
      </c>
      <c r="B299" s="2" t="s">
        <v>321</v>
      </c>
      <c r="C299" s="3" t="s">
        <v>22</v>
      </c>
      <c r="D299" s="3" t="s">
        <v>205</v>
      </c>
      <c r="E299" s="3">
        <v>20</v>
      </c>
      <c r="F299" s="3">
        <v>20</v>
      </c>
      <c r="G299" s="3">
        <f t="shared" si="24"/>
        <v>1</v>
      </c>
      <c r="H299" s="3">
        <v>8193</v>
      </c>
      <c r="I299" s="4">
        <v>5656.4472000000014</v>
      </c>
      <c r="J299" s="4">
        <f t="shared" si="25"/>
        <v>4793.5993220338996</v>
      </c>
      <c r="K299" s="5">
        <v>20</v>
      </c>
      <c r="L299" s="5">
        <f t="shared" si="26"/>
        <v>400</v>
      </c>
      <c r="M299" s="4">
        <f t="shared" si="27"/>
        <v>4393.5993220338996</v>
      </c>
      <c r="N299" s="3"/>
      <c r="O299" s="4">
        <f t="shared" si="29"/>
        <v>4393.5993220338996</v>
      </c>
      <c r="P299" s="6">
        <f t="shared" si="28"/>
        <v>5184.4472000000014</v>
      </c>
    </row>
    <row r="300" spans="1:16" x14ac:dyDescent="0.25">
      <c r="A300" s="2">
        <v>473750136</v>
      </c>
      <c r="B300" s="2" t="s">
        <v>322</v>
      </c>
      <c r="C300" s="3" t="s">
        <v>22</v>
      </c>
      <c r="D300" s="3" t="s">
        <v>200</v>
      </c>
      <c r="E300" s="3">
        <v>18</v>
      </c>
      <c r="F300" s="3">
        <v>18</v>
      </c>
      <c r="G300" s="3">
        <f t="shared" si="24"/>
        <v>1</v>
      </c>
      <c r="H300" s="3">
        <v>8460</v>
      </c>
      <c r="I300" s="4">
        <v>5732.496000000001</v>
      </c>
      <c r="J300" s="4">
        <f t="shared" si="25"/>
        <v>4858.0474576271199</v>
      </c>
      <c r="K300" s="5">
        <v>20</v>
      </c>
      <c r="L300" s="5">
        <f t="shared" si="26"/>
        <v>360</v>
      </c>
      <c r="M300" s="4">
        <f t="shared" si="27"/>
        <v>4498.0474576271199</v>
      </c>
      <c r="N300" s="3"/>
      <c r="O300" s="4">
        <f t="shared" si="29"/>
        <v>4498.0474576271199</v>
      </c>
      <c r="P300" s="6">
        <f t="shared" si="28"/>
        <v>5307.6960000000008</v>
      </c>
    </row>
    <row r="301" spans="1:16" x14ac:dyDescent="0.25">
      <c r="A301" s="2">
        <v>473750184</v>
      </c>
      <c r="B301" s="2" t="s">
        <v>323</v>
      </c>
      <c r="C301" s="3" t="s">
        <v>17</v>
      </c>
      <c r="D301" s="3" t="s">
        <v>200</v>
      </c>
      <c r="E301" s="3">
        <v>20</v>
      </c>
      <c r="F301" s="3">
        <v>1</v>
      </c>
      <c r="G301" s="3">
        <f t="shared" si="24"/>
        <v>20</v>
      </c>
      <c r="H301" s="3">
        <v>475</v>
      </c>
      <c r="I301" s="4">
        <v>329.69749999999999</v>
      </c>
      <c r="J301" s="4">
        <f t="shared" si="25"/>
        <v>279.40466101694915</v>
      </c>
      <c r="K301" s="5">
        <v>20</v>
      </c>
      <c r="L301" s="5">
        <f t="shared" si="26"/>
        <v>20</v>
      </c>
      <c r="M301" s="4">
        <f t="shared" si="27"/>
        <v>259.40466101694915</v>
      </c>
      <c r="N301" s="3"/>
      <c r="O301" s="4">
        <f t="shared" si="29"/>
        <v>259.40466101694915</v>
      </c>
      <c r="P301" s="6">
        <f t="shared" si="28"/>
        <v>306.09749999999997</v>
      </c>
    </row>
    <row r="302" spans="1:16" x14ac:dyDescent="0.25">
      <c r="A302" s="2">
        <v>473750203</v>
      </c>
      <c r="B302" s="2" t="s">
        <v>324</v>
      </c>
      <c r="C302" s="3" t="s">
        <v>17</v>
      </c>
      <c r="D302" s="3" t="s">
        <v>200</v>
      </c>
      <c r="E302" s="3">
        <v>12</v>
      </c>
      <c r="F302" s="3">
        <v>3</v>
      </c>
      <c r="G302" s="3">
        <f t="shared" si="24"/>
        <v>4</v>
      </c>
      <c r="H302" s="3">
        <v>1410</v>
      </c>
      <c r="I302" s="4">
        <v>982.48800000000006</v>
      </c>
      <c r="J302" s="4">
        <f t="shared" si="25"/>
        <v>832.61694915254247</v>
      </c>
      <c r="K302" s="5">
        <v>0</v>
      </c>
      <c r="L302" s="5">
        <f t="shared" si="26"/>
        <v>0</v>
      </c>
      <c r="M302" s="4">
        <f t="shared" si="27"/>
        <v>832.61694915254247</v>
      </c>
      <c r="N302" s="3"/>
      <c r="O302" s="4">
        <f t="shared" si="29"/>
        <v>832.61694915254247</v>
      </c>
      <c r="P302" s="6">
        <f t="shared" si="28"/>
        <v>982.48800000000006</v>
      </c>
    </row>
    <row r="303" spans="1:16" x14ac:dyDescent="0.25">
      <c r="A303" s="2">
        <v>473750204</v>
      </c>
      <c r="B303" s="2" t="s">
        <v>325</v>
      </c>
      <c r="C303" s="3" t="s">
        <v>17</v>
      </c>
      <c r="D303" s="3" t="s">
        <v>200</v>
      </c>
      <c r="E303" s="3">
        <v>12</v>
      </c>
      <c r="F303" s="3">
        <v>3</v>
      </c>
      <c r="G303" s="3">
        <f t="shared" si="24"/>
        <v>4</v>
      </c>
      <c r="H303" s="3">
        <v>1410</v>
      </c>
      <c r="I303" s="4">
        <v>982.48800000000006</v>
      </c>
      <c r="J303" s="4">
        <f t="shared" si="25"/>
        <v>832.61694915254247</v>
      </c>
      <c r="K303" s="5">
        <v>30</v>
      </c>
      <c r="L303" s="5">
        <f t="shared" si="26"/>
        <v>90</v>
      </c>
      <c r="M303" s="4">
        <f t="shared" si="27"/>
        <v>742.61694915254247</v>
      </c>
      <c r="N303" s="3"/>
      <c r="O303" s="4">
        <f t="shared" si="29"/>
        <v>742.61694915254247</v>
      </c>
      <c r="P303" s="6">
        <f t="shared" si="28"/>
        <v>876.28800000000012</v>
      </c>
    </row>
    <row r="304" spans="1:16" x14ac:dyDescent="0.25">
      <c r="A304" s="2">
        <v>473750229</v>
      </c>
      <c r="B304" s="2" t="s">
        <v>326</v>
      </c>
      <c r="C304" s="3" t="s">
        <v>17</v>
      </c>
      <c r="D304" s="3" t="s">
        <v>200</v>
      </c>
      <c r="E304" s="3">
        <v>20</v>
      </c>
      <c r="F304" s="3">
        <v>1</v>
      </c>
      <c r="G304" s="3">
        <f t="shared" si="24"/>
        <v>20</v>
      </c>
      <c r="H304" s="3">
        <v>475</v>
      </c>
      <c r="I304" s="4">
        <v>329.69749999999999</v>
      </c>
      <c r="J304" s="4">
        <f t="shared" si="25"/>
        <v>279.40466101694915</v>
      </c>
      <c r="K304" s="5">
        <v>0</v>
      </c>
      <c r="L304" s="5">
        <f t="shared" si="26"/>
        <v>0</v>
      </c>
      <c r="M304" s="4">
        <f t="shared" si="27"/>
        <v>279.40466101694915</v>
      </c>
      <c r="N304" s="3"/>
      <c r="O304" s="4">
        <f t="shared" si="29"/>
        <v>279.40466101694915</v>
      </c>
      <c r="P304" s="6">
        <f t="shared" si="28"/>
        <v>329.69749999999999</v>
      </c>
    </row>
    <row r="305" spans="1:16" x14ac:dyDescent="0.25">
      <c r="A305" s="2">
        <v>473750234</v>
      </c>
      <c r="B305" s="2" t="s">
        <v>327</v>
      </c>
      <c r="C305" s="3" t="s">
        <v>17</v>
      </c>
      <c r="D305" s="3" t="s">
        <v>200</v>
      </c>
      <c r="E305" s="3">
        <v>20</v>
      </c>
      <c r="F305" s="3">
        <v>5</v>
      </c>
      <c r="G305" s="3">
        <f t="shared" si="24"/>
        <v>4</v>
      </c>
      <c r="H305" s="3">
        <v>2350</v>
      </c>
      <c r="I305" s="4">
        <v>1630.9</v>
      </c>
      <c r="J305" s="4">
        <f t="shared" si="25"/>
        <v>1382.1186440677968</v>
      </c>
      <c r="K305" s="5">
        <v>0</v>
      </c>
      <c r="L305" s="5">
        <f t="shared" si="26"/>
        <v>0</v>
      </c>
      <c r="M305" s="4">
        <f t="shared" si="27"/>
        <v>1382.1186440677968</v>
      </c>
      <c r="N305" s="3"/>
      <c r="O305" s="4">
        <f t="shared" si="29"/>
        <v>1382.1186440677968</v>
      </c>
      <c r="P305" s="6">
        <f t="shared" si="28"/>
        <v>1630.9</v>
      </c>
    </row>
    <row r="306" spans="1:16" x14ac:dyDescent="0.25">
      <c r="A306" s="2">
        <v>473750240</v>
      </c>
      <c r="B306" s="2" t="s">
        <v>328</v>
      </c>
      <c r="C306" s="3" t="s">
        <v>17</v>
      </c>
      <c r="D306" s="3" t="s">
        <v>200</v>
      </c>
      <c r="E306" s="3">
        <v>20</v>
      </c>
      <c r="F306" s="3">
        <v>5</v>
      </c>
      <c r="G306" s="3">
        <f t="shared" si="24"/>
        <v>4</v>
      </c>
      <c r="H306" s="3">
        <v>2350</v>
      </c>
      <c r="I306" s="4">
        <v>1630.9</v>
      </c>
      <c r="J306" s="4">
        <f t="shared" si="25"/>
        <v>1382.1186440677968</v>
      </c>
      <c r="K306" s="5">
        <v>20</v>
      </c>
      <c r="L306" s="5">
        <f t="shared" si="26"/>
        <v>100</v>
      </c>
      <c r="M306" s="4">
        <f t="shared" si="27"/>
        <v>1282.1186440677968</v>
      </c>
      <c r="N306" s="3"/>
      <c r="O306" s="4">
        <f t="shared" si="29"/>
        <v>1282.1186440677968</v>
      </c>
      <c r="P306" s="6">
        <f t="shared" si="28"/>
        <v>1512.9</v>
      </c>
    </row>
    <row r="307" spans="1:16" x14ac:dyDescent="0.25">
      <c r="A307" s="2">
        <v>473750241</v>
      </c>
      <c r="B307" s="2" t="s">
        <v>329</v>
      </c>
      <c r="C307" s="3" t="s">
        <v>22</v>
      </c>
      <c r="D307" s="3" t="s">
        <v>200</v>
      </c>
      <c r="E307" s="3">
        <v>10</v>
      </c>
      <c r="F307" s="3">
        <v>10</v>
      </c>
      <c r="G307" s="3">
        <f t="shared" si="24"/>
        <v>1</v>
      </c>
      <c r="H307" s="3">
        <v>4700</v>
      </c>
      <c r="I307" s="4">
        <v>3238.77</v>
      </c>
      <c r="J307" s="4">
        <f t="shared" si="25"/>
        <v>2744.7203389830511</v>
      </c>
      <c r="K307" s="5">
        <v>20</v>
      </c>
      <c r="L307" s="5">
        <f t="shared" si="26"/>
        <v>200</v>
      </c>
      <c r="M307" s="4">
        <f t="shared" si="27"/>
        <v>2544.7203389830511</v>
      </c>
      <c r="N307" s="3"/>
      <c r="O307" s="4">
        <f t="shared" si="29"/>
        <v>2544.7203389830511</v>
      </c>
      <c r="P307" s="6">
        <f t="shared" si="28"/>
        <v>3002.77</v>
      </c>
    </row>
    <row r="308" spans="1:16" x14ac:dyDescent="0.25">
      <c r="A308" s="2">
        <v>473750242</v>
      </c>
      <c r="B308" s="2" t="s">
        <v>330</v>
      </c>
      <c r="C308" s="3" t="s">
        <v>22</v>
      </c>
      <c r="D308" s="3" t="s">
        <v>200</v>
      </c>
      <c r="E308" s="3">
        <v>10</v>
      </c>
      <c r="F308" s="3">
        <v>10</v>
      </c>
      <c r="G308" s="3">
        <f t="shared" si="24"/>
        <v>1</v>
      </c>
      <c r="H308" s="3">
        <v>4700</v>
      </c>
      <c r="I308" s="4">
        <v>3238.77</v>
      </c>
      <c r="J308" s="4">
        <f t="shared" si="25"/>
        <v>2744.7203389830511</v>
      </c>
      <c r="K308" s="5">
        <v>0</v>
      </c>
      <c r="L308" s="5">
        <f t="shared" si="26"/>
        <v>0</v>
      </c>
      <c r="M308" s="4">
        <f t="shared" si="27"/>
        <v>2744.7203389830511</v>
      </c>
      <c r="N308" s="3"/>
      <c r="O308" s="4">
        <f t="shared" si="29"/>
        <v>2744.7203389830511</v>
      </c>
      <c r="P308" s="6">
        <f t="shared" si="28"/>
        <v>3238.77</v>
      </c>
    </row>
    <row r="309" spans="1:16" x14ac:dyDescent="0.25">
      <c r="A309" s="2">
        <v>473750250</v>
      </c>
      <c r="B309" s="2" t="s">
        <v>331</v>
      </c>
      <c r="C309" s="3" t="s">
        <v>22</v>
      </c>
      <c r="D309" s="3" t="s">
        <v>200</v>
      </c>
      <c r="E309" s="3">
        <v>7.5</v>
      </c>
      <c r="F309" s="3">
        <v>7.5</v>
      </c>
      <c r="G309" s="3">
        <f t="shared" si="24"/>
        <v>1</v>
      </c>
      <c r="H309" s="3">
        <v>3525</v>
      </c>
      <c r="I309" s="4">
        <v>2445.9974999999999</v>
      </c>
      <c r="J309" s="4">
        <f t="shared" si="25"/>
        <v>2072.8792372881358</v>
      </c>
      <c r="K309" s="5">
        <v>20</v>
      </c>
      <c r="L309" s="5">
        <f t="shared" si="26"/>
        <v>150</v>
      </c>
      <c r="M309" s="4">
        <f t="shared" si="27"/>
        <v>1922.8792372881358</v>
      </c>
      <c r="N309" s="3"/>
      <c r="O309" s="4">
        <f t="shared" si="29"/>
        <v>1922.8792372881358</v>
      </c>
      <c r="P309" s="6">
        <f t="shared" si="28"/>
        <v>2268.9974999999999</v>
      </c>
    </row>
    <row r="310" spans="1:16" x14ac:dyDescent="0.25">
      <c r="A310" s="2">
        <v>473750251</v>
      </c>
      <c r="B310" s="2" t="s">
        <v>332</v>
      </c>
      <c r="C310" s="3" t="s">
        <v>22</v>
      </c>
      <c r="D310" s="3" t="s">
        <v>200</v>
      </c>
      <c r="E310" s="3">
        <v>7.5</v>
      </c>
      <c r="F310" s="3">
        <v>7.5</v>
      </c>
      <c r="G310" s="3">
        <f t="shared" si="24"/>
        <v>1</v>
      </c>
      <c r="H310" s="3">
        <v>3525</v>
      </c>
      <c r="I310" s="4">
        <v>2445.9974999999999</v>
      </c>
      <c r="J310" s="4">
        <f t="shared" si="25"/>
        <v>2072.8792372881358</v>
      </c>
      <c r="K310" s="5">
        <v>0</v>
      </c>
      <c r="L310" s="5">
        <f t="shared" si="26"/>
        <v>0</v>
      </c>
      <c r="M310" s="4">
        <f t="shared" si="27"/>
        <v>2072.8792372881358</v>
      </c>
      <c r="N310" s="3"/>
      <c r="O310" s="4">
        <f t="shared" si="29"/>
        <v>2072.8792372881358</v>
      </c>
      <c r="P310" s="6">
        <f t="shared" si="28"/>
        <v>2445.9974999999999</v>
      </c>
    </row>
    <row r="311" spans="1:16" x14ac:dyDescent="0.25">
      <c r="A311" s="2">
        <v>473750253</v>
      </c>
      <c r="B311" s="2" t="s">
        <v>333</v>
      </c>
      <c r="C311" s="3" t="s">
        <v>22</v>
      </c>
      <c r="D311" s="3" t="s">
        <v>200</v>
      </c>
      <c r="E311" s="3">
        <v>15</v>
      </c>
      <c r="F311" s="3">
        <v>15</v>
      </c>
      <c r="G311" s="3">
        <f t="shared" si="24"/>
        <v>1</v>
      </c>
      <c r="H311" s="3">
        <v>7050</v>
      </c>
      <c r="I311" s="4">
        <v>4822.2000000000007</v>
      </c>
      <c r="J311" s="4">
        <f t="shared" si="25"/>
        <v>4086.6101694915264</v>
      </c>
      <c r="K311" s="5">
        <v>20</v>
      </c>
      <c r="L311" s="5">
        <f t="shared" si="26"/>
        <v>300</v>
      </c>
      <c r="M311" s="4">
        <f t="shared" si="27"/>
        <v>3786.6101694915264</v>
      </c>
      <c r="N311" s="3"/>
      <c r="O311" s="4">
        <f t="shared" si="29"/>
        <v>3786.6101694915264</v>
      </c>
      <c r="P311" s="6">
        <f t="shared" si="28"/>
        <v>4468.2000000000007</v>
      </c>
    </row>
    <row r="312" spans="1:16" x14ac:dyDescent="0.25">
      <c r="A312" s="2">
        <v>473750254</v>
      </c>
      <c r="B312" s="2" t="s">
        <v>334</v>
      </c>
      <c r="C312" s="3" t="s">
        <v>22</v>
      </c>
      <c r="D312" s="3" t="s">
        <v>200</v>
      </c>
      <c r="E312" s="3">
        <v>18</v>
      </c>
      <c r="F312" s="3">
        <v>18</v>
      </c>
      <c r="G312" s="3">
        <f t="shared" si="24"/>
        <v>1</v>
      </c>
      <c r="H312" s="3">
        <v>8460</v>
      </c>
      <c r="I312" s="4">
        <v>5732.496000000001</v>
      </c>
      <c r="J312" s="4">
        <f t="shared" si="25"/>
        <v>4858.0474576271199</v>
      </c>
      <c r="K312" s="5">
        <v>0</v>
      </c>
      <c r="L312" s="5">
        <f t="shared" si="26"/>
        <v>0</v>
      </c>
      <c r="M312" s="4">
        <f t="shared" si="27"/>
        <v>4858.0474576271199</v>
      </c>
      <c r="N312" s="3"/>
      <c r="O312" s="4">
        <f t="shared" si="29"/>
        <v>4858.0474576271199</v>
      </c>
      <c r="P312" s="6">
        <f t="shared" si="28"/>
        <v>5732.496000000001</v>
      </c>
    </row>
    <row r="313" spans="1:16" x14ac:dyDescent="0.25">
      <c r="A313" s="2">
        <v>473750256</v>
      </c>
      <c r="B313" s="2" t="s">
        <v>335</v>
      </c>
      <c r="C313" s="3" t="s">
        <v>22</v>
      </c>
      <c r="D313" s="3" t="s">
        <v>200</v>
      </c>
      <c r="E313" s="3">
        <v>15</v>
      </c>
      <c r="F313" s="3">
        <v>15</v>
      </c>
      <c r="G313" s="3">
        <f t="shared" si="24"/>
        <v>1</v>
      </c>
      <c r="H313" s="3">
        <v>7050</v>
      </c>
      <c r="I313" s="4">
        <v>4822.2000000000007</v>
      </c>
      <c r="J313" s="4">
        <f t="shared" si="25"/>
        <v>4086.6101694915264</v>
      </c>
      <c r="K313" s="5">
        <v>0</v>
      </c>
      <c r="L313" s="5">
        <f t="shared" si="26"/>
        <v>0</v>
      </c>
      <c r="M313" s="4">
        <f t="shared" si="27"/>
        <v>4086.6101694915264</v>
      </c>
      <c r="N313" s="3"/>
      <c r="O313" s="4">
        <f t="shared" si="29"/>
        <v>4086.6101694915264</v>
      </c>
      <c r="P313" s="6">
        <f t="shared" si="28"/>
        <v>4822.2000000000007</v>
      </c>
    </row>
    <row r="314" spans="1:16" x14ac:dyDescent="0.25">
      <c r="A314" s="2">
        <v>473750265</v>
      </c>
      <c r="B314" s="2" t="s">
        <v>336</v>
      </c>
      <c r="C314" s="3" t="s">
        <v>22</v>
      </c>
      <c r="D314" s="3" t="s">
        <v>200</v>
      </c>
      <c r="E314" s="3">
        <v>20</v>
      </c>
      <c r="F314" s="3">
        <v>20</v>
      </c>
      <c r="G314" s="3">
        <f t="shared" si="24"/>
        <v>1</v>
      </c>
      <c r="H314" s="3">
        <v>9400</v>
      </c>
      <c r="I314" s="4">
        <v>6365.68</v>
      </c>
      <c r="J314" s="4">
        <f t="shared" si="25"/>
        <v>5394.6440677966111</v>
      </c>
      <c r="K314" s="5">
        <v>0</v>
      </c>
      <c r="L314" s="5">
        <f t="shared" si="26"/>
        <v>0</v>
      </c>
      <c r="M314" s="4">
        <f t="shared" si="27"/>
        <v>5394.6440677966111</v>
      </c>
      <c r="N314" s="3"/>
      <c r="O314" s="4">
        <f t="shared" si="29"/>
        <v>5394.6440677966111</v>
      </c>
      <c r="P314" s="6">
        <f t="shared" si="28"/>
        <v>6365.6800000000012</v>
      </c>
    </row>
    <row r="315" spans="1:16" x14ac:dyDescent="0.25">
      <c r="A315" s="2">
        <v>473750269</v>
      </c>
      <c r="B315" s="2" t="s">
        <v>337</v>
      </c>
      <c r="C315" s="3" t="s">
        <v>22</v>
      </c>
      <c r="D315" s="3" t="s">
        <v>200</v>
      </c>
      <c r="E315" s="3">
        <v>20</v>
      </c>
      <c r="F315" s="3">
        <v>20</v>
      </c>
      <c r="G315" s="3">
        <f t="shared" si="24"/>
        <v>1</v>
      </c>
      <c r="H315" s="3">
        <v>9400</v>
      </c>
      <c r="I315" s="4">
        <v>6365.68</v>
      </c>
      <c r="J315" s="4">
        <f t="shared" si="25"/>
        <v>5394.6440677966111</v>
      </c>
      <c r="K315" s="5">
        <v>20</v>
      </c>
      <c r="L315" s="5">
        <f t="shared" si="26"/>
        <v>400</v>
      </c>
      <c r="M315" s="4">
        <f t="shared" si="27"/>
        <v>4994.6440677966111</v>
      </c>
      <c r="N315" s="3"/>
      <c r="O315" s="4">
        <f t="shared" si="29"/>
        <v>4994.6440677966111</v>
      </c>
      <c r="P315" s="6">
        <f t="shared" si="28"/>
        <v>5893.6800000000012</v>
      </c>
    </row>
    <row r="316" spans="1:16" x14ac:dyDescent="0.25">
      <c r="A316" s="2">
        <v>474300111</v>
      </c>
      <c r="B316" s="2" t="s">
        <v>338</v>
      </c>
      <c r="C316" s="3" t="s">
        <v>17</v>
      </c>
      <c r="D316" s="3" t="s">
        <v>205</v>
      </c>
      <c r="E316" s="3">
        <v>14</v>
      </c>
      <c r="F316" s="3">
        <v>3.5</v>
      </c>
      <c r="G316" s="3">
        <f t="shared" si="24"/>
        <v>4</v>
      </c>
      <c r="H316" s="3">
        <v>2238</v>
      </c>
      <c r="I316" s="4">
        <v>1381.5174</v>
      </c>
      <c r="J316" s="4">
        <f t="shared" si="25"/>
        <v>1170.7774576271186</v>
      </c>
      <c r="K316" s="5">
        <v>10</v>
      </c>
      <c r="L316" s="5">
        <f t="shared" si="26"/>
        <v>35</v>
      </c>
      <c r="M316" s="4">
        <f t="shared" si="27"/>
        <v>1135.7774576271186</v>
      </c>
      <c r="N316" s="3"/>
      <c r="O316" s="4">
        <f t="shared" si="29"/>
        <v>1135.7774576271186</v>
      </c>
      <c r="P316" s="6">
        <f t="shared" si="28"/>
        <v>1340.2173999999998</v>
      </c>
    </row>
    <row r="317" spans="1:16" x14ac:dyDescent="0.25">
      <c r="A317" s="2">
        <v>474300184</v>
      </c>
      <c r="B317" s="2" t="s">
        <v>339</v>
      </c>
      <c r="C317" s="3" t="s">
        <v>17</v>
      </c>
      <c r="D317" s="3" t="s">
        <v>205</v>
      </c>
      <c r="E317" s="3">
        <v>20</v>
      </c>
      <c r="F317" s="3">
        <v>1</v>
      </c>
      <c r="G317" s="3">
        <f t="shared" si="24"/>
        <v>20</v>
      </c>
      <c r="H317" s="3">
        <v>640</v>
      </c>
      <c r="I317" s="4">
        <v>394.75199999999995</v>
      </c>
      <c r="J317" s="4">
        <f t="shared" si="25"/>
        <v>334.53559322033897</v>
      </c>
      <c r="K317" s="5">
        <v>10</v>
      </c>
      <c r="L317" s="5">
        <f t="shared" si="26"/>
        <v>10</v>
      </c>
      <c r="M317" s="4">
        <f t="shared" si="27"/>
        <v>324.53559322033897</v>
      </c>
      <c r="N317" s="3"/>
      <c r="O317" s="4">
        <f t="shared" si="29"/>
        <v>324.53559322033897</v>
      </c>
      <c r="P317" s="6">
        <f t="shared" si="28"/>
        <v>382.95199999999994</v>
      </c>
    </row>
    <row r="318" spans="1:16" x14ac:dyDescent="0.25">
      <c r="A318" s="2">
        <v>474300204</v>
      </c>
      <c r="B318" s="2" t="s">
        <v>340</v>
      </c>
      <c r="C318" s="3" t="s">
        <v>17</v>
      </c>
      <c r="D318" s="3" t="s">
        <v>205</v>
      </c>
      <c r="E318" s="3">
        <v>12</v>
      </c>
      <c r="F318" s="3">
        <v>3</v>
      </c>
      <c r="G318" s="3">
        <f t="shared" si="24"/>
        <v>4</v>
      </c>
      <c r="H318" s="3">
        <v>1923</v>
      </c>
      <c r="I318" s="4">
        <v>1187.4525000000001</v>
      </c>
      <c r="J318" s="4">
        <f t="shared" si="25"/>
        <v>1006.3156779661018</v>
      </c>
      <c r="K318" s="5">
        <v>10</v>
      </c>
      <c r="L318" s="5">
        <f t="shared" si="26"/>
        <v>30</v>
      </c>
      <c r="M318" s="4">
        <f t="shared" si="27"/>
        <v>976.31567796610182</v>
      </c>
      <c r="N318" s="3"/>
      <c r="O318" s="4">
        <f t="shared" si="29"/>
        <v>976.31567796610182</v>
      </c>
      <c r="P318" s="6">
        <f t="shared" si="28"/>
        <v>1152.0525</v>
      </c>
    </row>
    <row r="319" spans="1:16" x14ac:dyDescent="0.25">
      <c r="A319" s="2">
        <v>474300213</v>
      </c>
      <c r="B319" s="2" t="s">
        <v>341</v>
      </c>
      <c r="C319" s="3" t="s">
        <v>17</v>
      </c>
      <c r="D319" s="3" t="s">
        <v>205</v>
      </c>
      <c r="E319" s="3">
        <v>14</v>
      </c>
      <c r="F319" s="3">
        <v>3.5</v>
      </c>
      <c r="G319" s="3">
        <f t="shared" si="24"/>
        <v>4</v>
      </c>
      <c r="H319" s="3">
        <v>2238</v>
      </c>
      <c r="I319" s="4">
        <v>1381.5174</v>
      </c>
      <c r="J319" s="4">
        <f t="shared" si="25"/>
        <v>1170.7774576271186</v>
      </c>
      <c r="K319" s="5">
        <v>0</v>
      </c>
      <c r="L319" s="5">
        <f t="shared" si="26"/>
        <v>0</v>
      </c>
      <c r="M319" s="4">
        <f t="shared" si="27"/>
        <v>1170.7774576271186</v>
      </c>
      <c r="N319" s="3"/>
      <c r="O319" s="4">
        <f t="shared" si="29"/>
        <v>1170.7774576271186</v>
      </c>
      <c r="P319" s="6">
        <f t="shared" si="28"/>
        <v>1381.5173999999997</v>
      </c>
    </row>
    <row r="320" spans="1:16" x14ac:dyDescent="0.25">
      <c r="A320" s="2">
        <v>474300234</v>
      </c>
      <c r="B320" s="2" t="s">
        <v>342</v>
      </c>
      <c r="C320" s="3" t="s">
        <v>17</v>
      </c>
      <c r="D320" s="3" t="s">
        <v>205</v>
      </c>
      <c r="E320" s="3">
        <v>20</v>
      </c>
      <c r="F320" s="3">
        <v>5</v>
      </c>
      <c r="G320" s="3">
        <f t="shared" si="24"/>
        <v>4</v>
      </c>
      <c r="H320" s="3">
        <v>3199</v>
      </c>
      <c r="I320" s="4">
        <v>1975.0626000000002</v>
      </c>
      <c r="J320" s="4">
        <f t="shared" si="25"/>
        <v>1673.78186440678</v>
      </c>
      <c r="K320" s="5">
        <v>0</v>
      </c>
      <c r="L320" s="5">
        <f t="shared" si="26"/>
        <v>0</v>
      </c>
      <c r="M320" s="4">
        <f t="shared" si="27"/>
        <v>1673.78186440678</v>
      </c>
      <c r="N320" s="3"/>
      <c r="O320" s="4">
        <f t="shared" si="29"/>
        <v>1673.78186440678</v>
      </c>
      <c r="P320" s="6">
        <f t="shared" si="28"/>
        <v>1975.0626000000002</v>
      </c>
    </row>
    <row r="321" spans="1:16" x14ac:dyDescent="0.25">
      <c r="A321" s="2">
        <v>474300240</v>
      </c>
      <c r="B321" s="2" t="s">
        <v>343</v>
      </c>
      <c r="C321" s="3" t="s">
        <v>17</v>
      </c>
      <c r="D321" s="3" t="s">
        <v>205</v>
      </c>
      <c r="E321" s="3">
        <v>20</v>
      </c>
      <c r="F321" s="3">
        <v>5</v>
      </c>
      <c r="G321" s="3">
        <f t="shared" si="24"/>
        <v>4</v>
      </c>
      <c r="H321" s="3">
        <v>3199</v>
      </c>
      <c r="I321" s="4">
        <v>1975.0626000000002</v>
      </c>
      <c r="J321" s="4">
        <f t="shared" si="25"/>
        <v>1673.78186440678</v>
      </c>
      <c r="K321" s="5">
        <v>10</v>
      </c>
      <c r="L321" s="5">
        <f t="shared" si="26"/>
        <v>50</v>
      </c>
      <c r="M321" s="4">
        <f t="shared" si="27"/>
        <v>1623.78186440678</v>
      </c>
      <c r="N321" s="3"/>
      <c r="O321" s="4">
        <f t="shared" si="29"/>
        <v>1623.78186440678</v>
      </c>
      <c r="P321" s="6">
        <f t="shared" si="28"/>
        <v>1916.0626000000002</v>
      </c>
    </row>
    <row r="322" spans="1:16" x14ac:dyDescent="0.25">
      <c r="A322" s="2">
        <v>475540117</v>
      </c>
      <c r="B322" s="2" t="s">
        <v>344</v>
      </c>
      <c r="C322" s="3" t="s">
        <v>22</v>
      </c>
      <c r="D322" s="3" t="s">
        <v>214</v>
      </c>
      <c r="E322" s="3">
        <v>8.5</v>
      </c>
      <c r="F322" s="3">
        <v>8.5</v>
      </c>
      <c r="G322" s="3">
        <f t="shared" ref="G322:G385" si="30">E322/F322</f>
        <v>1</v>
      </c>
      <c r="H322" s="3">
        <v>3782.5</v>
      </c>
      <c r="I322" s="4">
        <v>2528.9795000000004</v>
      </c>
      <c r="J322" s="4">
        <f t="shared" ref="J322:J385" si="31">I322/1.18</f>
        <v>2143.2029661016954</v>
      </c>
      <c r="K322" s="5">
        <v>25</v>
      </c>
      <c r="L322" s="5">
        <f t="shared" ref="L322:L385" si="32">(K322)*F322</f>
        <v>212.5</v>
      </c>
      <c r="M322" s="4">
        <f t="shared" ref="M322:M385" si="33">J322-L322</f>
        <v>1930.7029661016954</v>
      </c>
      <c r="N322" s="3"/>
      <c r="O322" s="4">
        <f t="shared" si="29"/>
        <v>1930.7029661016954</v>
      </c>
      <c r="P322" s="6">
        <f t="shared" ref="P322:P385" si="34">O322*1.18</f>
        <v>2278.2295000000004</v>
      </c>
    </row>
    <row r="323" spans="1:16" x14ac:dyDescent="0.25">
      <c r="A323" s="2">
        <v>475540184</v>
      </c>
      <c r="B323" s="2" t="s">
        <v>345</v>
      </c>
      <c r="C323" s="3" t="s">
        <v>17</v>
      </c>
      <c r="D323" s="3" t="s">
        <v>214</v>
      </c>
      <c r="E323" s="3">
        <v>20</v>
      </c>
      <c r="F323" s="3">
        <v>1</v>
      </c>
      <c r="G323" s="3">
        <f t="shared" si="30"/>
        <v>20</v>
      </c>
      <c r="H323" s="3">
        <v>445</v>
      </c>
      <c r="I323" s="4">
        <v>301.88800000000003</v>
      </c>
      <c r="J323" s="4">
        <f t="shared" si="31"/>
        <v>255.83728813559327</v>
      </c>
      <c r="K323" s="5">
        <v>25</v>
      </c>
      <c r="L323" s="5">
        <f t="shared" si="32"/>
        <v>25</v>
      </c>
      <c r="M323" s="4">
        <f t="shared" si="33"/>
        <v>230.83728813559327</v>
      </c>
      <c r="N323" s="3"/>
      <c r="O323" s="4">
        <f t="shared" ref="O323:O386" si="35">M323-N323</f>
        <v>230.83728813559327</v>
      </c>
      <c r="P323" s="6">
        <f t="shared" si="34"/>
        <v>272.38800000000003</v>
      </c>
    </row>
    <row r="324" spans="1:16" x14ac:dyDescent="0.25">
      <c r="A324" s="2">
        <v>475540244</v>
      </c>
      <c r="B324" s="2" t="s">
        <v>346</v>
      </c>
      <c r="C324" s="3" t="s">
        <v>17</v>
      </c>
      <c r="D324" s="3" t="s">
        <v>214</v>
      </c>
      <c r="E324" s="3">
        <v>24</v>
      </c>
      <c r="F324" s="3">
        <v>6</v>
      </c>
      <c r="G324" s="3">
        <f t="shared" si="30"/>
        <v>4</v>
      </c>
      <c r="H324" s="3">
        <v>2670</v>
      </c>
      <c r="I324" s="4">
        <v>1787.0310000000002</v>
      </c>
      <c r="J324" s="4">
        <f t="shared" si="31"/>
        <v>1514.4330508474579</v>
      </c>
      <c r="K324" s="5">
        <v>0</v>
      </c>
      <c r="L324" s="5">
        <f t="shared" si="32"/>
        <v>0</v>
      </c>
      <c r="M324" s="4">
        <f t="shared" si="33"/>
        <v>1514.4330508474579</v>
      </c>
      <c r="N324" s="3"/>
      <c r="O324" s="4">
        <f t="shared" si="35"/>
        <v>1514.4330508474579</v>
      </c>
      <c r="P324" s="6">
        <f t="shared" si="34"/>
        <v>1787.0310000000002</v>
      </c>
    </row>
    <row r="325" spans="1:16" x14ac:dyDescent="0.25">
      <c r="A325" s="2">
        <v>475540250</v>
      </c>
      <c r="B325" s="2" t="s">
        <v>347</v>
      </c>
      <c r="C325" s="3" t="s">
        <v>22</v>
      </c>
      <c r="D325" s="3" t="s">
        <v>214</v>
      </c>
      <c r="E325" s="3">
        <v>7.5</v>
      </c>
      <c r="F325" s="3">
        <v>7.5</v>
      </c>
      <c r="G325" s="3">
        <f t="shared" si="30"/>
        <v>1</v>
      </c>
      <c r="H325" s="3">
        <v>3337.5</v>
      </c>
      <c r="I325" s="4">
        <v>2234.79</v>
      </c>
      <c r="J325" s="4">
        <f t="shared" si="31"/>
        <v>1893.8898305084747</v>
      </c>
      <c r="K325" s="5">
        <v>25</v>
      </c>
      <c r="L325" s="5">
        <f t="shared" si="32"/>
        <v>187.5</v>
      </c>
      <c r="M325" s="4">
        <f t="shared" si="33"/>
        <v>1706.3898305084747</v>
      </c>
      <c r="N325" s="3"/>
      <c r="O325" s="4">
        <f t="shared" si="35"/>
        <v>1706.3898305084747</v>
      </c>
      <c r="P325" s="6">
        <f t="shared" si="34"/>
        <v>2013.54</v>
      </c>
    </row>
    <row r="326" spans="1:16" x14ac:dyDescent="0.25">
      <c r="A326" s="2">
        <v>475540251</v>
      </c>
      <c r="B326" s="2" t="s">
        <v>348</v>
      </c>
      <c r="C326" s="3" t="s">
        <v>22</v>
      </c>
      <c r="D326" s="3" t="s">
        <v>214</v>
      </c>
      <c r="E326" s="3">
        <v>7.5</v>
      </c>
      <c r="F326" s="3">
        <v>7.5</v>
      </c>
      <c r="G326" s="3">
        <f t="shared" si="30"/>
        <v>1</v>
      </c>
      <c r="H326" s="3">
        <v>3337.5</v>
      </c>
      <c r="I326" s="4">
        <v>2234.79</v>
      </c>
      <c r="J326" s="4">
        <f t="shared" si="31"/>
        <v>1893.8898305084747</v>
      </c>
      <c r="K326" s="5">
        <v>0</v>
      </c>
      <c r="L326" s="5">
        <f t="shared" si="32"/>
        <v>0</v>
      </c>
      <c r="M326" s="4">
        <f t="shared" si="33"/>
        <v>1893.8898305084747</v>
      </c>
      <c r="N326" s="3"/>
      <c r="O326" s="4">
        <f t="shared" si="35"/>
        <v>1893.8898305084747</v>
      </c>
      <c r="P326" s="6">
        <f t="shared" si="34"/>
        <v>2234.79</v>
      </c>
    </row>
    <row r="327" spans="1:16" x14ac:dyDescent="0.25">
      <c r="A327" s="2">
        <v>475540252</v>
      </c>
      <c r="B327" s="2" t="s">
        <v>349</v>
      </c>
      <c r="C327" s="3" t="s">
        <v>22</v>
      </c>
      <c r="D327" s="3" t="s">
        <v>214</v>
      </c>
      <c r="E327" s="3">
        <v>8.5</v>
      </c>
      <c r="F327" s="3">
        <v>8.5</v>
      </c>
      <c r="G327" s="3">
        <f t="shared" si="30"/>
        <v>1</v>
      </c>
      <c r="H327" s="3">
        <v>3782.5</v>
      </c>
      <c r="I327" s="4">
        <v>2528.9795000000004</v>
      </c>
      <c r="J327" s="4">
        <f t="shared" si="31"/>
        <v>2143.2029661016954</v>
      </c>
      <c r="K327" s="5">
        <v>0</v>
      </c>
      <c r="L327" s="5">
        <f t="shared" si="32"/>
        <v>0</v>
      </c>
      <c r="M327" s="4">
        <f t="shared" si="33"/>
        <v>2143.2029661016954</v>
      </c>
      <c r="N327" s="3"/>
      <c r="O327" s="4">
        <f t="shared" si="35"/>
        <v>2143.2029661016954</v>
      </c>
      <c r="P327" s="6">
        <f t="shared" si="34"/>
        <v>2528.9795000000004</v>
      </c>
    </row>
    <row r="328" spans="1:16" x14ac:dyDescent="0.25">
      <c r="A328" s="2">
        <v>475630184</v>
      </c>
      <c r="B328" s="2" t="s">
        <v>350</v>
      </c>
      <c r="C328" s="3" t="s">
        <v>17</v>
      </c>
      <c r="D328" s="3" t="s">
        <v>214</v>
      </c>
      <c r="E328" s="3">
        <v>20</v>
      </c>
      <c r="F328" s="3">
        <v>1</v>
      </c>
      <c r="G328" s="3">
        <f t="shared" si="30"/>
        <v>20</v>
      </c>
      <c r="H328" s="3">
        <v>449</v>
      </c>
      <c r="I328" s="4">
        <v>299.93199999999996</v>
      </c>
      <c r="J328" s="4">
        <f t="shared" si="31"/>
        <v>254.17966101694913</v>
      </c>
      <c r="K328" s="5">
        <v>25</v>
      </c>
      <c r="L328" s="5">
        <f t="shared" si="32"/>
        <v>25</v>
      </c>
      <c r="M328" s="4">
        <f t="shared" si="33"/>
        <v>229.17966101694913</v>
      </c>
      <c r="N328" s="3"/>
      <c r="O328" s="4">
        <f t="shared" si="35"/>
        <v>229.17966101694913</v>
      </c>
      <c r="P328" s="6">
        <f t="shared" si="34"/>
        <v>270.43199999999996</v>
      </c>
    </row>
    <row r="329" spans="1:16" x14ac:dyDescent="0.25">
      <c r="A329" s="2">
        <v>475630244</v>
      </c>
      <c r="B329" s="2" t="s">
        <v>351</v>
      </c>
      <c r="C329" s="3" t="s">
        <v>17</v>
      </c>
      <c r="D329" s="3" t="s">
        <v>214</v>
      </c>
      <c r="E329" s="3">
        <v>24</v>
      </c>
      <c r="F329" s="3">
        <v>6</v>
      </c>
      <c r="G329" s="3">
        <f t="shared" si="30"/>
        <v>4</v>
      </c>
      <c r="H329" s="3">
        <v>2668</v>
      </c>
      <c r="I329" s="4">
        <v>1782.4908000000003</v>
      </c>
      <c r="J329" s="4">
        <f t="shared" si="31"/>
        <v>1510.5854237288138</v>
      </c>
      <c r="K329" s="5">
        <v>0</v>
      </c>
      <c r="L329" s="5">
        <f t="shared" si="32"/>
        <v>0</v>
      </c>
      <c r="M329" s="4">
        <f t="shared" si="33"/>
        <v>1510.5854237288138</v>
      </c>
      <c r="N329" s="3"/>
      <c r="O329" s="4">
        <f t="shared" si="35"/>
        <v>1510.5854237288138</v>
      </c>
      <c r="P329" s="6">
        <f t="shared" si="34"/>
        <v>1782.4908000000003</v>
      </c>
    </row>
    <row r="330" spans="1:16" x14ac:dyDescent="0.25">
      <c r="A330" s="2">
        <v>475630250</v>
      </c>
      <c r="B330" s="2" t="s">
        <v>352</v>
      </c>
      <c r="C330" s="3" t="s">
        <v>22</v>
      </c>
      <c r="D330" s="3" t="s">
        <v>214</v>
      </c>
      <c r="E330" s="3">
        <v>7.5</v>
      </c>
      <c r="F330" s="3">
        <v>7.5</v>
      </c>
      <c r="G330" s="3">
        <f t="shared" si="30"/>
        <v>1</v>
      </c>
      <c r="H330" s="3">
        <v>3350</v>
      </c>
      <c r="I330" s="4">
        <v>2211</v>
      </c>
      <c r="J330" s="4">
        <f t="shared" si="31"/>
        <v>1873.7288135593221</v>
      </c>
      <c r="K330" s="5">
        <v>25</v>
      </c>
      <c r="L330" s="5">
        <f t="shared" si="32"/>
        <v>187.5</v>
      </c>
      <c r="M330" s="4">
        <f t="shared" si="33"/>
        <v>1686.2288135593221</v>
      </c>
      <c r="N330" s="3"/>
      <c r="O330" s="4">
        <f t="shared" si="35"/>
        <v>1686.2288135593221</v>
      </c>
      <c r="P330" s="6">
        <f t="shared" si="34"/>
        <v>1989.75</v>
      </c>
    </row>
    <row r="331" spans="1:16" x14ac:dyDescent="0.25">
      <c r="A331" s="2">
        <v>475630251</v>
      </c>
      <c r="B331" s="2" t="s">
        <v>353</v>
      </c>
      <c r="C331" s="3" t="s">
        <v>22</v>
      </c>
      <c r="D331" s="3" t="s">
        <v>214</v>
      </c>
      <c r="E331" s="3">
        <v>7.5</v>
      </c>
      <c r="F331" s="3">
        <v>7.5</v>
      </c>
      <c r="G331" s="3">
        <f t="shared" si="30"/>
        <v>1</v>
      </c>
      <c r="H331" s="3">
        <v>3350</v>
      </c>
      <c r="I331" s="4">
        <v>2211</v>
      </c>
      <c r="J331" s="4">
        <f t="shared" si="31"/>
        <v>1873.7288135593221</v>
      </c>
      <c r="K331" s="5">
        <v>0</v>
      </c>
      <c r="L331" s="5">
        <f t="shared" si="32"/>
        <v>0</v>
      </c>
      <c r="M331" s="4">
        <f t="shared" si="33"/>
        <v>1873.7288135593221</v>
      </c>
      <c r="N331" s="3"/>
      <c r="O331" s="4">
        <f t="shared" si="35"/>
        <v>1873.7288135593221</v>
      </c>
      <c r="P331" s="6">
        <f t="shared" si="34"/>
        <v>2211</v>
      </c>
    </row>
    <row r="332" spans="1:16" x14ac:dyDescent="0.25">
      <c r="A332" s="2">
        <v>475700184</v>
      </c>
      <c r="B332" s="2" t="s">
        <v>354</v>
      </c>
      <c r="C332" s="3" t="s">
        <v>17</v>
      </c>
      <c r="D332" s="3" t="s">
        <v>200</v>
      </c>
      <c r="E332" s="3">
        <v>20</v>
      </c>
      <c r="F332" s="3">
        <v>1</v>
      </c>
      <c r="G332" s="3">
        <f t="shared" si="30"/>
        <v>20</v>
      </c>
      <c r="H332" s="3">
        <v>475</v>
      </c>
      <c r="I332" s="4">
        <v>328.36750000000001</v>
      </c>
      <c r="J332" s="4">
        <f t="shared" si="31"/>
        <v>278.27754237288138</v>
      </c>
      <c r="K332" s="5">
        <v>0</v>
      </c>
      <c r="L332" s="5">
        <f t="shared" si="32"/>
        <v>0</v>
      </c>
      <c r="M332" s="4">
        <f t="shared" si="33"/>
        <v>278.27754237288138</v>
      </c>
      <c r="N332" s="3"/>
      <c r="O332" s="4">
        <f t="shared" si="35"/>
        <v>278.27754237288138</v>
      </c>
      <c r="P332" s="6">
        <f t="shared" si="34"/>
        <v>328.36750000000001</v>
      </c>
    </row>
    <row r="333" spans="1:16" x14ac:dyDescent="0.25">
      <c r="A333" s="2">
        <v>475700229</v>
      </c>
      <c r="B333" s="2" t="s">
        <v>355</v>
      </c>
      <c r="C333" s="3" t="s">
        <v>17</v>
      </c>
      <c r="D333" s="3" t="s">
        <v>200</v>
      </c>
      <c r="E333" s="3">
        <v>20</v>
      </c>
      <c r="F333" s="3">
        <v>1</v>
      </c>
      <c r="G333" s="3">
        <f t="shared" si="30"/>
        <v>20</v>
      </c>
      <c r="H333" s="3">
        <v>475</v>
      </c>
      <c r="I333" s="4">
        <v>328.36750000000001</v>
      </c>
      <c r="J333" s="4">
        <f t="shared" si="31"/>
        <v>278.27754237288138</v>
      </c>
      <c r="K333" s="5">
        <v>0</v>
      </c>
      <c r="L333" s="5">
        <f t="shared" si="32"/>
        <v>0</v>
      </c>
      <c r="M333" s="4">
        <f t="shared" si="33"/>
        <v>278.27754237288138</v>
      </c>
      <c r="N333" s="3"/>
      <c r="O333" s="4">
        <f t="shared" si="35"/>
        <v>278.27754237288138</v>
      </c>
      <c r="P333" s="6">
        <f t="shared" si="34"/>
        <v>328.36750000000001</v>
      </c>
    </row>
    <row r="334" spans="1:16" x14ac:dyDescent="0.25">
      <c r="A334" s="2">
        <v>475700234</v>
      </c>
      <c r="B334" s="2" t="s">
        <v>356</v>
      </c>
      <c r="C334" s="3" t="s">
        <v>17</v>
      </c>
      <c r="D334" s="3" t="s">
        <v>200</v>
      </c>
      <c r="E334" s="3">
        <v>20</v>
      </c>
      <c r="F334" s="3">
        <v>5</v>
      </c>
      <c r="G334" s="3">
        <f t="shared" si="30"/>
        <v>4</v>
      </c>
      <c r="H334" s="3">
        <v>2350</v>
      </c>
      <c r="I334" s="4">
        <v>1637.2450000000001</v>
      </c>
      <c r="J334" s="4">
        <f t="shared" si="31"/>
        <v>1387.4957627118645</v>
      </c>
      <c r="K334" s="5">
        <v>0</v>
      </c>
      <c r="L334" s="5">
        <f t="shared" si="32"/>
        <v>0</v>
      </c>
      <c r="M334" s="4">
        <f t="shared" si="33"/>
        <v>1387.4957627118645</v>
      </c>
      <c r="N334" s="3"/>
      <c r="O334" s="4">
        <f t="shared" si="35"/>
        <v>1387.4957627118645</v>
      </c>
      <c r="P334" s="6">
        <f t="shared" si="34"/>
        <v>1637.2449999999999</v>
      </c>
    </row>
    <row r="335" spans="1:16" x14ac:dyDescent="0.25">
      <c r="A335" s="2">
        <v>475700240</v>
      </c>
      <c r="B335" s="2" t="s">
        <v>357</v>
      </c>
      <c r="C335" s="3" t="s">
        <v>17</v>
      </c>
      <c r="D335" s="3" t="s">
        <v>200</v>
      </c>
      <c r="E335" s="3">
        <v>20</v>
      </c>
      <c r="F335" s="3">
        <v>5</v>
      </c>
      <c r="G335" s="3">
        <f t="shared" si="30"/>
        <v>4</v>
      </c>
      <c r="H335" s="3">
        <v>2350</v>
      </c>
      <c r="I335" s="4">
        <v>1637.2450000000001</v>
      </c>
      <c r="J335" s="4">
        <f t="shared" si="31"/>
        <v>1387.4957627118645</v>
      </c>
      <c r="K335" s="5">
        <v>0</v>
      </c>
      <c r="L335" s="5">
        <f t="shared" si="32"/>
        <v>0</v>
      </c>
      <c r="M335" s="4">
        <f t="shared" si="33"/>
        <v>1387.4957627118645</v>
      </c>
      <c r="N335" s="3"/>
      <c r="O335" s="4">
        <f t="shared" si="35"/>
        <v>1387.4957627118645</v>
      </c>
      <c r="P335" s="6">
        <f t="shared" si="34"/>
        <v>1637.2449999999999</v>
      </c>
    </row>
    <row r="336" spans="1:16" x14ac:dyDescent="0.25">
      <c r="A336" s="2">
        <v>475700250</v>
      </c>
      <c r="B336" s="2" t="s">
        <v>358</v>
      </c>
      <c r="C336" s="3" t="s">
        <v>22</v>
      </c>
      <c r="D336" s="3" t="s">
        <v>200</v>
      </c>
      <c r="E336" s="3">
        <v>7.5</v>
      </c>
      <c r="F336" s="3">
        <v>7.5</v>
      </c>
      <c r="G336" s="3">
        <f t="shared" si="30"/>
        <v>1</v>
      </c>
      <c r="H336" s="3">
        <v>3525</v>
      </c>
      <c r="I336" s="4">
        <v>2459.3924999999999</v>
      </c>
      <c r="J336" s="4">
        <f t="shared" si="31"/>
        <v>2084.2309322033898</v>
      </c>
      <c r="K336" s="5">
        <v>0</v>
      </c>
      <c r="L336" s="5">
        <f t="shared" si="32"/>
        <v>0</v>
      </c>
      <c r="M336" s="4">
        <f t="shared" si="33"/>
        <v>2084.2309322033898</v>
      </c>
      <c r="N336" s="3"/>
      <c r="O336" s="4">
        <f t="shared" si="35"/>
        <v>2084.2309322033898</v>
      </c>
      <c r="P336" s="6">
        <f t="shared" si="34"/>
        <v>2459.3924999999999</v>
      </c>
    </row>
    <row r="337" spans="1:16" x14ac:dyDescent="0.25">
      <c r="A337" s="2">
        <v>475700251</v>
      </c>
      <c r="B337" s="2" t="s">
        <v>359</v>
      </c>
      <c r="C337" s="3" t="s">
        <v>22</v>
      </c>
      <c r="D337" s="3" t="s">
        <v>200</v>
      </c>
      <c r="E337" s="3">
        <v>7.5</v>
      </c>
      <c r="F337" s="3">
        <v>7.5</v>
      </c>
      <c r="G337" s="3">
        <f t="shared" si="30"/>
        <v>1</v>
      </c>
      <c r="H337" s="3">
        <v>3525</v>
      </c>
      <c r="I337" s="4">
        <v>2459.3924999999999</v>
      </c>
      <c r="J337" s="4">
        <f t="shared" si="31"/>
        <v>2084.2309322033898</v>
      </c>
      <c r="K337" s="5">
        <v>0</v>
      </c>
      <c r="L337" s="5">
        <f t="shared" si="32"/>
        <v>0</v>
      </c>
      <c r="M337" s="4">
        <f t="shared" si="33"/>
        <v>2084.2309322033898</v>
      </c>
      <c r="N337" s="3"/>
      <c r="O337" s="4">
        <f t="shared" si="35"/>
        <v>2084.2309322033898</v>
      </c>
      <c r="P337" s="6">
        <f t="shared" si="34"/>
        <v>2459.3924999999999</v>
      </c>
    </row>
    <row r="338" spans="1:16" x14ac:dyDescent="0.25">
      <c r="A338" s="2">
        <v>475700253</v>
      </c>
      <c r="B338" s="2" t="s">
        <v>360</v>
      </c>
      <c r="C338" s="3" t="s">
        <v>22</v>
      </c>
      <c r="D338" s="3" t="s">
        <v>200</v>
      </c>
      <c r="E338" s="3">
        <v>15</v>
      </c>
      <c r="F338" s="3">
        <v>15</v>
      </c>
      <c r="G338" s="3">
        <f t="shared" si="30"/>
        <v>1</v>
      </c>
      <c r="H338" s="3">
        <v>7050</v>
      </c>
      <c r="I338" s="4">
        <v>4915.26</v>
      </c>
      <c r="J338" s="4">
        <f t="shared" si="31"/>
        <v>4165.4745762711873</v>
      </c>
      <c r="K338" s="5">
        <v>0</v>
      </c>
      <c r="L338" s="5">
        <f t="shared" si="32"/>
        <v>0</v>
      </c>
      <c r="M338" s="4">
        <f t="shared" si="33"/>
        <v>4165.4745762711873</v>
      </c>
      <c r="N338" s="3"/>
      <c r="O338" s="4">
        <f t="shared" si="35"/>
        <v>4165.4745762711873</v>
      </c>
      <c r="P338" s="6">
        <f t="shared" si="34"/>
        <v>4915.2600000000011</v>
      </c>
    </row>
    <row r="339" spans="1:16" x14ac:dyDescent="0.25">
      <c r="A339" s="2">
        <v>475700256</v>
      </c>
      <c r="B339" s="2" t="s">
        <v>361</v>
      </c>
      <c r="C339" s="3" t="s">
        <v>22</v>
      </c>
      <c r="D339" s="3" t="s">
        <v>200</v>
      </c>
      <c r="E339" s="3">
        <v>15</v>
      </c>
      <c r="F339" s="3">
        <v>15</v>
      </c>
      <c r="G339" s="3">
        <f t="shared" si="30"/>
        <v>1</v>
      </c>
      <c r="H339" s="3">
        <v>7050</v>
      </c>
      <c r="I339" s="4">
        <v>4915.26</v>
      </c>
      <c r="J339" s="4">
        <f t="shared" si="31"/>
        <v>4165.4745762711873</v>
      </c>
      <c r="K339" s="5">
        <v>0</v>
      </c>
      <c r="L339" s="5">
        <f t="shared" si="32"/>
        <v>0</v>
      </c>
      <c r="M339" s="4">
        <f t="shared" si="33"/>
        <v>4165.4745762711873</v>
      </c>
      <c r="N339" s="3"/>
      <c r="O339" s="4">
        <f t="shared" si="35"/>
        <v>4165.4745762711873</v>
      </c>
      <c r="P339" s="6">
        <f t="shared" si="34"/>
        <v>4915.2600000000011</v>
      </c>
    </row>
    <row r="340" spans="1:16" x14ac:dyDescent="0.25">
      <c r="A340" s="2">
        <v>475700265</v>
      </c>
      <c r="B340" s="2" t="s">
        <v>362</v>
      </c>
      <c r="C340" s="3" t="s">
        <v>22</v>
      </c>
      <c r="D340" s="3" t="s">
        <v>200</v>
      </c>
      <c r="E340" s="3">
        <v>20</v>
      </c>
      <c r="F340" s="3">
        <v>20</v>
      </c>
      <c r="G340" s="3">
        <f t="shared" si="30"/>
        <v>1</v>
      </c>
      <c r="H340" s="3">
        <v>9400</v>
      </c>
      <c r="I340" s="4">
        <v>6547.1</v>
      </c>
      <c r="J340" s="4">
        <f t="shared" si="31"/>
        <v>5548.3898305084749</v>
      </c>
      <c r="K340" s="5">
        <v>0</v>
      </c>
      <c r="L340" s="5">
        <f t="shared" si="32"/>
        <v>0</v>
      </c>
      <c r="M340" s="4">
        <f t="shared" si="33"/>
        <v>5548.3898305084749</v>
      </c>
      <c r="N340" s="3"/>
      <c r="O340" s="4">
        <f t="shared" si="35"/>
        <v>5548.3898305084749</v>
      </c>
      <c r="P340" s="6">
        <f t="shared" si="34"/>
        <v>6547.1</v>
      </c>
    </row>
    <row r="341" spans="1:16" x14ac:dyDescent="0.25">
      <c r="A341" s="2">
        <v>475700269</v>
      </c>
      <c r="B341" s="2" t="s">
        <v>363</v>
      </c>
      <c r="C341" s="3" t="s">
        <v>22</v>
      </c>
      <c r="D341" s="3" t="s">
        <v>200</v>
      </c>
      <c r="E341" s="3">
        <v>20</v>
      </c>
      <c r="F341" s="3">
        <v>20</v>
      </c>
      <c r="G341" s="3">
        <f t="shared" si="30"/>
        <v>1</v>
      </c>
      <c r="H341" s="3">
        <v>9400</v>
      </c>
      <c r="I341" s="4">
        <v>6547.1</v>
      </c>
      <c r="J341" s="4">
        <f t="shared" si="31"/>
        <v>5548.3898305084749</v>
      </c>
      <c r="K341" s="5">
        <v>0</v>
      </c>
      <c r="L341" s="5">
        <f t="shared" si="32"/>
        <v>0</v>
      </c>
      <c r="M341" s="4">
        <f t="shared" si="33"/>
        <v>5548.3898305084749</v>
      </c>
      <c r="N341" s="3"/>
      <c r="O341" s="4">
        <f t="shared" si="35"/>
        <v>5548.3898305084749</v>
      </c>
      <c r="P341" s="6">
        <f t="shared" si="34"/>
        <v>6547.1</v>
      </c>
    </row>
    <row r="342" spans="1:16" x14ac:dyDescent="0.25">
      <c r="A342" s="2">
        <v>475770184</v>
      </c>
      <c r="B342" s="2" t="s">
        <v>364</v>
      </c>
      <c r="C342" s="3" t="s">
        <v>17</v>
      </c>
      <c r="D342" s="3" t="s">
        <v>200</v>
      </c>
      <c r="E342" s="3">
        <v>20</v>
      </c>
      <c r="F342" s="3">
        <v>1</v>
      </c>
      <c r="G342" s="3">
        <f t="shared" si="30"/>
        <v>20</v>
      </c>
      <c r="H342" s="3">
        <v>425</v>
      </c>
      <c r="I342" s="4">
        <v>304.76749999999998</v>
      </c>
      <c r="J342" s="4">
        <f t="shared" si="31"/>
        <v>258.27754237288133</v>
      </c>
      <c r="K342" s="5">
        <v>10</v>
      </c>
      <c r="L342" s="5">
        <f t="shared" si="32"/>
        <v>10</v>
      </c>
      <c r="M342" s="4">
        <f t="shared" si="33"/>
        <v>248.27754237288133</v>
      </c>
      <c r="N342" s="3"/>
      <c r="O342" s="4">
        <f t="shared" si="35"/>
        <v>248.27754237288133</v>
      </c>
      <c r="P342" s="6">
        <f t="shared" si="34"/>
        <v>292.96749999999997</v>
      </c>
    </row>
    <row r="343" spans="1:16" x14ac:dyDescent="0.25">
      <c r="A343" s="2">
        <v>475770203</v>
      </c>
      <c r="B343" s="2" t="s">
        <v>365</v>
      </c>
      <c r="C343" s="3" t="s">
        <v>17</v>
      </c>
      <c r="D343" s="3" t="s">
        <v>200</v>
      </c>
      <c r="E343" s="3">
        <v>12</v>
      </c>
      <c r="F343" s="3">
        <v>3</v>
      </c>
      <c r="G343" s="3">
        <f t="shared" si="30"/>
        <v>4</v>
      </c>
      <c r="H343" s="3">
        <v>1260</v>
      </c>
      <c r="I343" s="4">
        <v>913.87800000000004</v>
      </c>
      <c r="J343" s="4">
        <f t="shared" si="31"/>
        <v>774.47288135593226</v>
      </c>
      <c r="K343" s="5">
        <v>0</v>
      </c>
      <c r="L343" s="5">
        <f t="shared" si="32"/>
        <v>0</v>
      </c>
      <c r="M343" s="4">
        <f t="shared" si="33"/>
        <v>774.47288135593226</v>
      </c>
      <c r="N343" s="3"/>
      <c r="O343" s="4">
        <f t="shared" si="35"/>
        <v>774.47288135593226</v>
      </c>
      <c r="P343" s="6">
        <f t="shared" si="34"/>
        <v>913.87800000000004</v>
      </c>
    </row>
    <row r="344" spans="1:16" x14ac:dyDescent="0.25">
      <c r="A344" s="2">
        <v>475770204</v>
      </c>
      <c r="B344" s="2" t="s">
        <v>366</v>
      </c>
      <c r="C344" s="3" t="s">
        <v>17</v>
      </c>
      <c r="D344" s="3" t="s">
        <v>200</v>
      </c>
      <c r="E344" s="3">
        <v>12</v>
      </c>
      <c r="F344" s="3">
        <v>3</v>
      </c>
      <c r="G344" s="3">
        <f t="shared" si="30"/>
        <v>4</v>
      </c>
      <c r="H344" s="3">
        <v>1260</v>
      </c>
      <c r="I344" s="4">
        <v>913.87800000000004</v>
      </c>
      <c r="J344" s="4">
        <f t="shared" si="31"/>
        <v>774.47288135593226</v>
      </c>
      <c r="K344" s="5">
        <v>15</v>
      </c>
      <c r="L344" s="5">
        <f t="shared" si="32"/>
        <v>45</v>
      </c>
      <c r="M344" s="4">
        <f t="shared" si="33"/>
        <v>729.47288135593226</v>
      </c>
      <c r="N344" s="3"/>
      <c r="O344" s="4">
        <f t="shared" si="35"/>
        <v>729.47288135593226</v>
      </c>
      <c r="P344" s="6">
        <f t="shared" si="34"/>
        <v>860.77800000000002</v>
      </c>
    </row>
    <row r="345" spans="1:16" x14ac:dyDescent="0.25">
      <c r="A345" s="2">
        <v>475770229</v>
      </c>
      <c r="B345" s="2" t="s">
        <v>367</v>
      </c>
      <c r="C345" s="3" t="s">
        <v>17</v>
      </c>
      <c r="D345" s="3" t="s">
        <v>200</v>
      </c>
      <c r="E345" s="3">
        <v>20</v>
      </c>
      <c r="F345" s="3">
        <v>1</v>
      </c>
      <c r="G345" s="3">
        <f t="shared" si="30"/>
        <v>20</v>
      </c>
      <c r="H345" s="3">
        <v>425</v>
      </c>
      <c r="I345" s="4">
        <v>304.76749999999998</v>
      </c>
      <c r="J345" s="4">
        <f t="shared" si="31"/>
        <v>258.27754237288133</v>
      </c>
      <c r="K345" s="5">
        <v>0</v>
      </c>
      <c r="L345" s="5">
        <f t="shared" si="32"/>
        <v>0</v>
      </c>
      <c r="M345" s="4">
        <f t="shared" si="33"/>
        <v>258.27754237288133</v>
      </c>
      <c r="N345" s="3"/>
      <c r="O345" s="4">
        <f t="shared" si="35"/>
        <v>258.27754237288133</v>
      </c>
      <c r="P345" s="6">
        <f t="shared" si="34"/>
        <v>304.76749999999993</v>
      </c>
    </row>
    <row r="346" spans="1:16" x14ac:dyDescent="0.25">
      <c r="A346" s="2">
        <v>475770234</v>
      </c>
      <c r="B346" s="2" t="s">
        <v>368</v>
      </c>
      <c r="C346" s="3" t="s">
        <v>17</v>
      </c>
      <c r="D346" s="3" t="s">
        <v>200</v>
      </c>
      <c r="E346" s="3">
        <v>20</v>
      </c>
      <c r="F346" s="3">
        <v>5</v>
      </c>
      <c r="G346" s="3">
        <f t="shared" si="30"/>
        <v>4</v>
      </c>
      <c r="H346" s="3">
        <v>2100</v>
      </c>
      <c r="I346" s="4">
        <v>1519.56</v>
      </c>
      <c r="J346" s="4">
        <f t="shared" si="31"/>
        <v>1287.7627118644068</v>
      </c>
      <c r="K346" s="5">
        <v>0</v>
      </c>
      <c r="L346" s="5">
        <f t="shared" si="32"/>
        <v>0</v>
      </c>
      <c r="M346" s="4">
        <f t="shared" si="33"/>
        <v>1287.7627118644068</v>
      </c>
      <c r="N346" s="3"/>
      <c r="O346" s="4">
        <f t="shared" si="35"/>
        <v>1287.7627118644068</v>
      </c>
      <c r="P346" s="6">
        <f t="shared" si="34"/>
        <v>1519.56</v>
      </c>
    </row>
    <row r="347" spans="1:16" x14ac:dyDescent="0.25">
      <c r="A347" s="2">
        <v>475770240</v>
      </c>
      <c r="B347" s="2" t="s">
        <v>369</v>
      </c>
      <c r="C347" s="3" t="s">
        <v>17</v>
      </c>
      <c r="D347" s="3" t="s">
        <v>200</v>
      </c>
      <c r="E347" s="3">
        <v>20</v>
      </c>
      <c r="F347" s="3">
        <v>5</v>
      </c>
      <c r="G347" s="3">
        <f t="shared" si="30"/>
        <v>4</v>
      </c>
      <c r="H347" s="3">
        <v>2100</v>
      </c>
      <c r="I347" s="4">
        <v>1519.56</v>
      </c>
      <c r="J347" s="4">
        <f t="shared" si="31"/>
        <v>1287.7627118644068</v>
      </c>
      <c r="K347" s="5">
        <v>15</v>
      </c>
      <c r="L347" s="5">
        <f t="shared" si="32"/>
        <v>75</v>
      </c>
      <c r="M347" s="4">
        <f t="shared" si="33"/>
        <v>1212.7627118644068</v>
      </c>
      <c r="N347" s="3"/>
      <c r="O347" s="4">
        <f t="shared" si="35"/>
        <v>1212.7627118644068</v>
      </c>
      <c r="P347" s="6">
        <f t="shared" si="34"/>
        <v>1431.06</v>
      </c>
    </row>
    <row r="348" spans="1:16" x14ac:dyDescent="0.25">
      <c r="A348" s="2">
        <v>475770241</v>
      </c>
      <c r="B348" s="2" t="s">
        <v>370</v>
      </c>
      <c r="C348" s="3" t="s">
        <v>22</v>
      </c>
      <c r="D348" s="3" t="s">
        <v>200</v>
      </c>
      <c r="E348" s="3">
        <v>10</v>
      </c>
      <c r="F348" s="3">
        <v>10</v>
      </c>
      <c r="G348" s="3">
        <f t="shared" si="30"/>
        <v>1</v>
      </c>
      <c r="H348" s="3">
        <v>4200</v>
      </c>
      <c r="I348" s="4">
        <v>3039.12</v>
      </c>
      <c r="J348" s="4">
        <f t="shared" si="31"/>
        <v>2575.5254237288136</v>
      </c>
      <c r="K348" s="5">
        <v>15</v>
      </c>
      <c r="L348" s="5">
        <f t="shared" si="32"/>
        <v>150</v>
      </c>
      <c r="M348" s="4">
        <f t="shared" si="33"/>
        <v>2425.5254237288136</v>
      </c>
      <c r="N348" s="3"/>
      <c r="O348" s="4">
        <f t="shared" si="35"/>
        <v>2425.5254237288136</v>
      </c>
      <c r="P348" s="6">
        <f t="shared" si="34"/>
        <v>2862.12</v>
      </c>
    </row>
    <row r="349" spans="1:16" x14ac:dyDescent="0.25">
      <c r="A349" s="2">
        <v>475770242</v>
      </c>
      <c r="B349" s="2" t="s">
        <v>371</v>
      </c>
      <c r="C349" s="3" t="s">
        <v>22</v>
      </c>
      <c r="D349" s="3" t="s">
        <v>200</v>
      </c>
      <c r="E349" s="3">
        <v>10</v>
      </c>
      <c r="F349" s="3">
        <v>10</v>
      </c>
      <c r="G349" s="3">
        <f t="shared" si="30"/>
        <v>1</v>
      </c>
      <c r="H349" s="3">
        <v>4200</v>
      </c>
      <c r="I349" s="4">
        <v>3039.12</v>
      </c>
      <c r="J349" s="4">
        <f t="shared" si="31"/>
        <v>2575.5254237288136</v>
      </c>
      <c r="K349" s="5">
        <v>0</v>
      </c>
      <c r="L349" s="5">
        <f t="shared" si="32"/>
        <v>0</v>
      </c>
      <c r="M349" s="4">
        <f t="shared" si="33"/>
        <v>2575.5254237288136</v>
      </c>
      <c r="N349" s="3"/>
      <c r="O349" s="4">
        <f t="shared" si="35"/>
        <v>2575.5254237288136</v>
      </c>
      <c r="P349" s="6">
        <f t="shared" si="34"/>
        <v>3039.12</v>
      </c>
    </row>
    <row r="350" spans="1:16" x14ac:dyDescent="0.25">
      <c r="A350" s="2">
        <v>475770250</v>
      </c>
      <c r="B350" s="2" t="s">
        <v>372</v>
      </c>
      <c r="C350" s="3" t="s">
        <v>22</v>
      </c>
      <c r="D350" s="3" t="s">
        <v>200</v>
      </c>
      <c r="E350" s="3">
        <v>7.5</v>
      </c>
      <c r="F350" s="3">
        <v>7.5</v>
      </c>
      <c r="G350" s="3">
        <f t="shared" si="30"/>
        <v>1</v>
      </c>
      <c r="H350" s="3">
        <v>3150</v>
      </c>
      <c r="I350" s="4">
        <v>2283.12</v>
      </c>
      <c r="J350" s="4">
        <f t="shared" si="31"/>
        <v>1934.8474576271187</v>
      </c>
      <c r="K350" s="5">
        <v>15</v>
      </c>
      <c r="L350" s="5">
        <f t="shared" si="32"/>
        <v>112.5</v>
      </c>
      <c r="M350" s="4">
        <f t="shared" si="33"/>
        <v>1822.3474576271187</v>
      </c>
      <c r="N350" s="3"/>
      <c r="O350" s="4">
        <f t="shared" si="35"/>
        <v>1822.3474576271187</v>
      </c>
      <c r="P350" s="6">
        <f t="shared" si="34"/>
        <v>2150.37</v>
      </c>
    </row>
    <row r="351" spans="1:16" x14ac:dyDescent="0.25">
      <c r="A351" s="2">
        <v>475770251</v>
      </c>
      <c r="B351" s="2" t="s">
        <v>373</v>
      </c>
      <c r="C351" s="3" t="s">
        <v>22</v>
      </c>
      <c r="D351" s="3" t="s">
        <v>200</v>
      </c>
      <c r="E351" s="3">
        <v>7.5</v>
      </c>
      <c r="F351" s="3">
        <v>7.5</v>
      </c>
      <c r="G351" s="3">
        <f t="shared" si="30"/>
        <v>1</v>
      </c>
      <c r="H351" s="3">
        <v>3150</v>
      </c>
      <c r="I351" s="4">
        <v>2283.12</v>
      </c>
      <c r="J351" s="4">
        <f t="shared" si="31"/>
        <v>1934.8474576271187</v>
      </c>
      <c r="K351" s="5">
        <v>0</v>
      </c>
      <c r="L351" s="5">
        <f t="shared" si="32"/>
        <v>0</v>
      </c>
      <c r="M351" s="4">
        <f t="shared" si="33"/>
        <v>1934.8474576271187</v>
      </c>
      <c r="N351" s="3"/>
      <c r="O351" s="4">
        <f t="shared" si="35"/>
        <v>1934.8474576271187</v>
      </c>
      <c r="P351" s="6">
        <f t="shared" si="34"/>
        <v>2283.12</v>
      </c>
    </row>
    <row r="352" spans="1:16" x14ac:dyDescent="0.25">
      <c r="A352" s="2">
        <v>475770253</v>
      </c>
      <c r="B352" s="2" t="s">
        <v>374</v>
      </c>
      <c r="C352" s="3" t="s">
        <v>22</v>
      </c>
      <c r="D352" s="3" t="s">
        <v>200</v>
      </c>
      <c r="E352" s="3">
        <v>15</v>
      </c>
      <c r="F352" s="3">
        <v>15</v>
      </c>
      <c r="G352" s="3">
        <f t="shared" si="30"/>
        <v>1</v>
      </c>
      <c r="H352" s="3">
        <v>6300</v>
      </c>
      <c r="I352" s="4">
        <v>4562.46</v>
      </c>
      <c r="J352" s="4">
        <f t="shared" si="31"/>
        <v>3866.4915254237289</v>
      </c>
      <c r="K352" s="5">
        <v>15</v>
      </c>
      <c r="L352" s="5">
        <f t="shared" si="32"/>
        <v>225</v>
      </c>
      <c r="M352" s="4">
        <f t="shared" si="33"/>
        <v>3641.4915254237289</v>
      </c>
      <c r="N352" s="3"/>
      <c r="O352" s="4">
        <f t="shared" si="35"/>
        <v>3641.4915254237289</v>
      </c>
      <c r="P352" s="6">
        <f t="shared" si="34"/>
        <v>4296.96</v>
      </c>
    </row>
    <row r="353" spans="1:16" x14ac:dyDescent="0.25">
      <c r="A353" s="2">
        <v>475770256</v>
      </c>
      <c r="B353" s="2" t="s">
        <v>375</v>
      </c>
      <c r="C353" s="3" t="s">
        <v>22</v>
      </c>
      <c r="D353" s="3" t="s">
        <v>200</v>
      </c>
      <c r="E353" s="3">
        <v>15</v>
      </c>
      <c r="F353" s="3">
        <v>15</v>
      </c>
      <c r="G353" s="3">
        <f t="shared" si="30"/>
        <v>1</v>
      </c>
      <c r="H353" s="3">
        <v>6300</v>
      </c>
      <c r="I353" s="4">
        <v>4562.46</v>
      </c>
      <c r="J353" s="4">
        <f t="shared" si="31"/>
        <v>3866.4915254237289</v>
      </c>
      <c r="K353" s="5">
        <v>0</v>
      </c>
      <c r="L353" s="5">
        <f t="shared" si="32"/>
        <v>0</v>
      </c>
      <c r="M353" s="4">
        <f t="shared" si="33"/>
        <v>3866.4915254237289</v>
      </c>
      <c r="N353" s="3"/>
      <c r="O353" s="4">
        <f t="shared" si="35"/>
        <v>3866.4915254237289</v>
      </c>
      <c r="P353" s="6">
        <f t="shared" si="34"/>
        <v>4562.46</v>
      </c>
    </row>
    <row r="354" spans="1:16" x14ac:dyDescent="0.25">
      <c r="A354" s="2">
        <v>475770265</v>
      </c>
      <c r="B354" s="2" t="s">
        <v>376</v>
      </c>
      <c r="C354" s="3" t="s">
        <v>22</v>
      </c>
      <c r="D354" s="3" t="s">
        <v>200</v>
      </c>
      <c r="E354" s="3">
        <v>20</v>
      </c>
      <c r="F354" s="3">
        <v>20</v>
      </c>
      <c r="G354" s="3">
        <f t="shared" si="30"/>
        <v>1</v>
      </c>
      <c r="H354" s="3">
        <v>8400</v>
      </c>
      <c r="I354" s="4">
        <v>6100.08</v>
      </c>
      <c r="J354" s="4">
        <f t="shared" si="31"/>
        <v>5169.5593220338988</v>
      </c>
      <c r="K354" s="5">
        <v>0</v>
      </c>
      <c r="L354" s="5">
        <f t="shared" si="32"/>
        <v>0</v>
      </c>
      <c r="M354" s="4">
        <f t="shared" si="33"/>
        <v>5169.5593220338988</v>
      </c>
      <c r="N354" s="3"/>
      <c r="O354" s="4">
        <f t="shared" si="35"/>
        <v>5169.5593220338988</v>
      </c>
      <c r="P354" s="6">
        <f t="shared" si="34"/>
        <v>6100.08</v>
      </c>
    </row>
    <row r="355" spans="1:16" x14ac:dyDescent="0.25">
      <c r="A355" s="2">
        <v>475770269</v>
      </c>
      <c r="B355" s="2" t="s">
        <v>377</v>
      </c>
      <c r="C355" s="3" t="s">
        <v>22</v>
      </c>
      <c r="D355" s="3" t="s">
        <v>200</v>
      </c>
      <c r="E355" s="3">
        <v>20</v>
      </c>
      <c r="F355" s="3">
        <v>20</v>
      </c>
      <c r="G355" s="3">
        <f t="shared" si="30"/>
        <v>1</v>
      </c>
      <c r="H355" s="3">
        <v>8400</v>
      </c>
      <c r="I355" s="4">
        <v>6100.08</v>
      </c>
      <c r="J355" s="4">
        <f t="shared" si="31"/>
        <v>5169.5593220338988</v>
      </c>
      <c r="K355" s="5">
        <v>15</v>
      </c>
      <c r="L355" s="5">
        <f t="shared" si="32"/>
        <v>300</v>
      </c>
      <c r="M355" s="4">
        <f t="shared" si="33"/>
        <v>4869.5593220338988</v>
      </c>
      <c r="N355" s="3"/>
      <c r="O355" s="4">
        <f t="shared" si="35"/>
        <v>4869.5593220338988</v>
      </c>
      <c r="P355" s="6">
        <f t="shared" si="34"/>
        <v>5746.08</v>
      </c>
    </row>
    <row r="356" spans="1:16" x14ac:dyDescent="0.25">
      <c r="A356" s="2">
        <v>475920184</v>
      </c>
      <c r="B356" s="2" t="s">
        <v>378</v>
      </c>
      <c r="C356" s="3" t="s">
        <v>17</v>
      </c>
      <c r="D356" s="3" t="s">
        <v>200</v>
      </c>
      <c r="E356" s="3">
        <v>20</v>
      </c>
      <c r="F356" s="3">
        <v>1</v>
      </c>
      <c r="G356" s="3">
        <f t="shared" si="30"/>
        <v>20</v>
      </c>
      <c r="H356" s="3">
        <v>425</v>
      </c>
      <c r="I356" s="4">
        <v>307.65750000000003</v>
      </c>
      <c r="J356" s="4">
        <f t="shared" si="31"/>
        <v>260.72669491525426</v>
      </c>
      <c r="K356" s="5">
        <v>11</v>
      </c>
      <c r="L356" s="5">
        <f t="shared" si="32"/>
        <v>11</v>
      </c>
      <c r="M356" s="4">
        <f t="shared" si="33"/>
        <v>249.72669491525426</v>
      </c>
      <c r="N356" s="3"/>
      <c r="O356" s="4">
        <f t="shared" si="35"/>
        <v>249.72669491525426</v>
      </c>
      <c r="P356" s="6">
        <f t="shared" si="34"/>
        <v>294.67750000000001</v>
      </c>
    </row>
    <row r="357" spans="1:16" x14ac:dyDescent="0.25">
      <c r="A357" s="2">
        <v>475920229</v>
      </c>
      <c r="B357" s="2" t="s">
        <v>379</v>
      </c>
      <c r="C357" s="3" t="s">
        <v>17</v>
      </c>
      <c r="D357" s="3" t="s">
        <v>200</v>
      </c>
      <c r="E357" s="3">
        <v>20</v>
      </c>
      <c r="F357" s="3">
        <v>1</v>
      </c>
      <c r="G357" s="3">
        <f t="shared" si="30"/>
        <v>20</v>
      </c>
      <c r="H357" s="3">
        <v>425</v>
      </c>
      <c r="I357" s="4">
        <v>307.65750000000003</v>
      </c>
      <c r="J357" s="4">
        <f t="shared" si="31"/>
        <v>260.72669491525426</v>
      </c>
      <c r="K357" s="5">
        <v>0</v>
      </c>
      <c r="L357" s="5">
        <f t="shared" si="32"/>
        <v>0</v>
      </c>
      <c r="M357" s="4">
        <f t="shared" si="33"/>
        <v>260.72669491525426</v>
      </c>
      <c r="N357" s="3"/>
      <c r="O357" s="4">
        <f t="shared" si="35"/>
        <v>260.72669491525426</v>
      </c>
      <c r="P357" s="6">
        <f t="shared" si="34"/>
        <v>307.65750000000003</v>
      </c>
    </row>
    <row r="358" spans="1:16" x14ac:dyDescent="0.25">
      <c r="A358" s="2">
        <v>475920234</v>
      </c>
      <c r="B358" s="2" t="s">
        <v>380</v>
      </c>
      <c r="C358" s="3" t="s">
        <v>17</v>
      </c>
      <c r="D358" s="3" t="s">
        <v>200</v>
      </c>
      <c r="E358" s="3">
        <v>20</v>
      </c>
      <c r="F358" s="3">
        <v>5</v>
      </c>
      <c r="G358" s="3">
        <f t="shared" si="30"/>
        <v>4</v>
      </c>
      <c r="H358" s="3">
        <v>2100</v>
      </c>
      <c r="I358" s="4">
        <v>1539.72</v>
      </c>
      <c r="J358" s="4">
        <f t="shared" si="31"/>
        <v>1304.8474576271187</v>
      </c>
      <c r="K358" s="5">
        <v>0</v>
      </c>
      <c r="L358" s="5">
        <f t="shared" si="32"/>
        <v>0</v>
      </c>
      <c r="M358" s="4">
        <f t="shared" si="33"/>
        <v>1304.8474576271187</v>
      </c>
      <c r="N358" s="3"/>
      <c r="O358" s="4">
        <f t="shared" si="35"/>
        <v>1304.8474576271187</v>
      </c>
      <c r="P358" s="6">
        <f t="shared" si="34"/>
        <v>1539.72</v>
      </c>
    </row>
    <row r="359" spans="1:16" x14ac:dyDescent="0.25">
      <c r="A359" s="2">
        <v>475920240</v>
      </c>
      <c r="B359" s="2" t="s">
        <v>381</v>
      </c>
      <c r="C359" s="3" t="s">
        <v>17</v>
      </c>
      <c r="D359" s="3" t="s">
        <v>200</v>
      </c>
      <c r="E359" s="3">
        <v>20</v>
      </c>
      <c r="F359" s="3">
        <v>5</v>
      </c>
      <c r="G359" s="3">
        <f t="shared" si="30"/>
        <v>4</v>
      </c>
      <c r="H359" s="3">
        <v>2100</v>
      </c>
      <c r="I359" s="4">
        <v>1539.72</v>
      </c>
      <c r="J359" s="4">
        <f t="shared" si="31"/>
        <v>1304.8474576271187</v>
      </c>
      <c r="K359" s="5">
        <v>15</v>
      </c>
      <c r="L359" s="5">
        <f t="shared" si="32"/>
        <v>75</v>
      </c>
      <c r="M359" s="4">
        <f t="shared" si="33"/>
        <v>1229.8474576271187</v>
      </c>
      <c r="N359" s="3"/>
      <c r="O359" s="4">
        <f t="shared" si="35"/>
        <v>1229.8474576271187</v>
      </c>
      <c r="P359" s="6">
        <f t="shared" si="34"/>
        <v>1451.22</v>
      </c>
    </row>
    <row r="360" spans="1:16" x14ac:dyDescent="0.25">
      <c r="A360" s="2">
        <v>475920241</v>
      </c>
      <c r="B360" s="2" t="s">
        <v>382</v>
      </c>
      <c r="C360" s="3" t="s">
        <v>22</v>
      </c>
      <c r="D360" s="3" t="s">
        <v>200</v>
      </c>
      <c r="E360" s="3">
        <v>10</v>
      </c>
      <c r="F360" s="3">
        <v>10</v>
      </c>
      <c r="G360" s="3">
        <f t="shared" si="30"/>
        <v>1</v>
      </c>
      <c r="H360" s="3">
        <v>4200</v>
      </c>
      <c r="I360" s="4">
        <v>3078.6</v>
      </c>
      <c r="J360" s="4">
        <f t="shared" si="31"/>
        <v>2608.9830508474579</v>
      </c>
      <c r="K360" s="5">
        <v>15</v>
      </c>
      <c r="L360" s="5">
        <f t="shared" si="32"/>
        <v>150</v>
      </c>
      <c r="M360" s="4">
        <f t="shared" si="33"/>
        <v>2458.9830508474579</v>
      </c>
      <c r="N360" s="3"/>
      <c r="O360" s="4">
        <f t="shared" si="35"/>
        <v>2458.9830508474579</v>
      </c>
      <c r="P360" s="6">
        <f t="shared" si="34"/>
        <v>2901.6000000000004</v>
      </c>
    </row>
    <row r="361" spans="1:16" x14ac:dyDescent="0.25">
      <c r="A361" s="2">
        <v>475920242</v>
      </c>
      <c r="B361" s="2" t="s">
        <v>383</v>
      </c>
      <c r="C361" s="3" t="s">
        <v>22</v>
      </c>
      <c r="D361" s="3" t="s">
        <v>200</v>
      </c>
      <c r="E361" s="3">
        <v>10</v>
      </c>
      <c r="F361" s="3">
        <v>10</v>
      </c>
      <c r="G361" s="3">
        <f t="shared" si="30"/>
        <v>1</v>
      </c>
      <c r="H361" s="3">
        <v>4200</v>
      </c>
      <c r="I361" s="4">
        <v>3078.6</v>
      </c>
      <c r="J361" s="4">
        <f t="shared" si="31"/>
        <v>2608.9830508474579</v>
      </c>
      <c r="K361" s="5">
        <v>0</v>
      </c>
      <c r="L361" s="5">
        <f t="shared" si="32"/>
        <v>0</v>
      </c>
      <c r="M361" s="4">
        <f t="shared" si="33"/>
        <v>2608.9830508474579</v>
      </c>
      <c r="N361" s="3"/>
      <c r="O361" s="4">
        <f t="shared" si="35"/>
        <v>2608.9830508474579</v>
      </c>
      <c r="P361" s="6">
        <f t="shared" si="34"/>
        <v>3078.6000000000004</v>
      </c>
    </row>
    <row r="362" spans="1:16" x14ac:dyDescent="0.25">
      <c r="A362" s="2">
        <v>475920250</v>
      </c>
      <c r="B362" s="2" t="s">
        <v>384</v>
      </c>
      <c r="C362" s="3" t="s">
        <v>22</v>
      </c>
      <c r="D362" s="3" t="s">
        <v>200</v>
      </c>
      <c r="E362" s="3">
        <v>7.5</v>
      </c>
      <c r="F362" s="3">
        <v>7.5</v>
      </c>
      <c r="G362" s="3">
        <f t="shared" si="30"/>
        <v>1</v>
      </c>
      <c r="H362" s="3">
        <v>3150</v>
      </c>
      <c r="I362" s="4">
        <v>2313.36</v>
      </c>
      <c r="J362" s="4">
        <f t="shared" si="31"/>
        <v>1960.4745762711866</v>
      </c>
      <c r="K362" s="5">
        <v>15</v>
      </c>
      <c r="L362" s="5">
        <f t="shared" si="32"/>
        <v>112.5</v>
      </c>
      <c r="M362" s="4">
        <f t="shared" si="33"/>
        <v>1847.9745762711866</v>
      </c>
      <c r="N362" s="3"/>
      <c r="O362" s="4">
        <f t="shared" si="35"/>
        <v>1847.9745762711866</v>
      </c>
      <c r="P362" s="6">
        <f t="shared" si="34"/>
        <v>2180.61</v>
      </c>
    </row>
    <row r="363" spans="1:16" x14ac:dyDescent="0.25">
      <c r="A363" s="2">
        <v>475920251</v>
      </c>
      <c r="B363" s="2" t="s">
        <v>385</v>
      </c>
      <c r="C363" s="3" t="s">
        <v>22</v>
      </c>
      <c r="D363" s="3" t="s">
        <v>200</v>
      </c>
      <c r="E363" s="3">
        <v>7.5</v>
      </c>
      <c r="F363" s="3">
        <v>7.5</v>
      </c>
      <c r="G363" s="3">
        <f t="shared" si="30"/>
        <v>1</v>
      </c>
      <c r="H363" s="3">
        <v>3150</v>
      </c>
      <c r="I363" s="4">
        <v>2313.36</v>
      </c>
      <c r="J363" s="4">
        <f t="shared" si="31"/>
        <v>1960.4745762711866</v>
      </c>
      <c r="K363" s="5">
        <v>0</v>
      </c>
      <c r="L363" s="5">
        <f t="shared" si="32"/>
        <v>0</v>
      </c>
      <c r="M363" s="4">
        <f t="shared" si="33"/>
        <v>1960.4745762711866</v>
      </c>
      <c r="N363" s="3"/>
      <c r="O363" s="4">
        <f t="shared" si="35"/>
        <v>1960.4745762711866</v>
      </c>
      <c r="P363" s="6">
        <f t="shared" si="34"/>
        <v>2313.36</v>
      </c>
    </row>
    <row r="364" spans="1:16" x14ac:dyDescent="0.25">
      <c r="A364" s="2">
        <v>475920253</v>
      </c>
      <c r="B364" s="2" t="s">
        <v>386</v>
      </c>
      <c r="C364" s="3" t="s">
        <v>22</v>
      </c>
      <c r="D364" s="3" t="s">
        <v>200</v>
      </c>
      <c r="E364" s="3">
        <v>15</v>
      </c>
      <c r="F364" s="3">
        <v>15</v>
      </c>
      <c r="G364" s="3">
        <f t="shared" si="30"/>
        <v>1</v>
      </c>
      <c r="H364" s="3">
        <v>6300</v>
      </c>
      <c r="I364" s="4">
        <v>4621.68</v>
      </c>
      <c r="J364" s="4">
        <f t="shared" si="31"/>
        <v>3916.6779661016953</v>
      </c>
      <c r="K364" s="5">
        <v>15</v>
      </c>
      <c r="L364" s="5">
        <f t="shared" si="32"/>
        <v>225</v>
      </c>
      <c r="M364" s="4">
        <f t="shared" si="33"/>
        <v>3691.6779661016953</v>
      </c>
      <c r="N364" s="3"/>
      <c r="O364" s="4">
        <f t="shared" si="35"/>
        <v>3691.6779661016953</v>
      </c>
      <c r="P364" s="6">
        <f t="shared" si="34"/>
        <v>4356.18</v>
      </c>
    </row>
    <row r="365" spans="1:16" x14ac:dyDescent="0.25">
      <c r="A365" s="2">
        <v>475920256</v>
      </c>
      <c r="B365" s="2" t="s">
        <v>387</v>
      </c>
      <c r="C365" s="3" t="s">
        <v>22</v>
      </c>
      <c r="D365" s="3" t="s">
        <v>200</v>
      </c>
      <c r="E365" s="3">
        <v>15</v>
      </c>
      <c r="F365" s="3">
        <v>15</v>
      </c>
      <c r="G365" s="3">
        <f t="shared" si="30"/>
        <v>1</v>
      </c>
      <c r="H365" s="3">
        <v>6300</v>
      </c>
      <c r="I365" s="4">
        <v>4621.68</v>
      </c>
      <c r="J365" s="4">
        <f t="shared" si="31"/>
        <v>3916.6779661016953</v>
      </c>
      <c r="K365" s="5">
        <v>0</v>
      </c>
      <c r="L365" s="5">
        <f t="shared" si="32"/>
        <v>0</v>
      </c>
      <c r="M365" s="4">
        <f t="shared" si="33"/>
        <v>3916.6779661016953</v>
      </c>
      <c r="N365" s="3"/>
      <c r="O365" s="4">
        <f t="shared" si="35"/>
        <v>3916.6779661016953</v>
      </c>
      <c r="P365" s="6">
        <f t="shared" si="34"/>
        <v>4621.68</v>
      </c>
    </row>
    <row r="366" spans="1:16" x14ac:dyDescent="0.25">
      <c r="A366" s="2">
        <v>475920265</v>
      </c>
      <c r="B366" s="2" t="s">
        <v>388</v>
      </c>
      <c r="C366" s="3" t="s">
        <v>22</v>
      </c>
      <c r="D366" s="3" t="s">
        <v>200</v>
      </c>
      <c r="E366" s="3">
        <v>20</v>
      </c>
      <c r="F366" s="3">
        <v>20</v>
      </c>
      <c r="G366" s="3">
        <f t="shared" si="30"/>
        <v>1</v>
      </c>
      <c r="H366" s="3">
        <v>8400</v>
      </c>
      <c r="I366" s="4">
        <v>6156.3600000000006</v>
      </c>
      <c r="J366" s="4">
        <f t="shared" si="31"/>
        <v>5217.2542372881362</v>
      </c>
      <c r="K366" s="5">
        <v>0</v>
      </c>
      <c r="L366" s="5">
        <f t="shared" si="32"/>
        <v>0</v>
      </c>
      <c r="M366" s="4">
        <f t="shared" si="33"/>
        <v>5217.2542372881362</v>
      </c>
      <c r="N366" s="3"/>
      <c r="O366" s="4">
        <f t="shared" si="35"/>
        <v>5217.2542372881362</v>
      </c>
      <c r="P366" s="6">
        <f t="shared" si="34"/>
        <v>6156.3600000000006</v>
      </c>
    </row>
    <row r="367" spans="1:16" x14ac:dyDescent="0.25">
      <c r="A367" s="2">
        <v>475920269</v>
      </c>
      <c r="B367" s="2" t="s">
        <v>389</v>
      </c>
      <c r="C367" s="3" t="s">
        <v>22</v>
      </c>
      <c r="D367" s="3" t="s">
        <v>200</v>
      </c>
      <c r="E367" s="3">
        <v>20</v>
      </c>
      <c r="F367" s="3">
        <v>20</v>
      </c>
      <c r="G367" s="3">
        <f t="shared" si="30"/>
        <v>1</v>
      </c>
      <c r="H367" s="3">
        <v>8400</v>
      </c>
      <c r="I367" s="4">
        <v>6156.3600000000006</v>
      </c>
      <c r="J367" s="4">
        <f t="shared" si="31"/>
        <v>5217.2542372881362</v>
      </c>
      <c r="K367" s="5">
        <v>15</v>
      </c>
      <c r="L367" s="5">
        <f t="shared" si="32"/>
        <v>300</v>
      </c>
      <c r="M367" s="4">
        <f t="shared" si="33"/>
        <v>4917.2542372881362</v>
      </c>
      <c r="N367" s="3"/>
      <c r="O367" s="4">
        <f t="shared" si="35"/>
        <v>4917.2542372881362</v>
      </c>
      <c r="P367" s="6">
        <f t="shared" si="34"/>
        <v>5802.3600000000006</v>
      </c>
    </row>
    <row r="368" spans="1:16" x14ac:dyDescent="0.25">
      <c r="A368" s="2">
        <v>476170184</v>
      </c>
      <c r="B368" s="2" t="s">
        <v>390</v>
      </c>
      <c r="C368" s="3" t="s">
        <v>17</v>
      </c>
      <c r="D368" s="3" t="s">
        <v>200</v>
      </c>
      <c r="E368" s="3">
        <v>20</v>
      </c>
      <c r="F368" s="3">
        <v>1</v>
      </c>
      <c r="G368" s="3">
        <f t="shared" si="30"/>
        <v>20</v>
      </c>
      <c r="H368" s="3">
        <v>410</v>
      </c>
      <c r="I368" s="4">
        <v>289.255</v>
      </c>
      <c r="J368" s="4">
        <f t="shared" si="31"/>
        <v>245.13135593220341</v>
      </c>
      <c r="K368" s="5">
        <v>20</v>
      </c>
      <c r="L368" s="5">
        <f t="shared" si="32"/>
        <v>20</v>
      </c>
      <c r="M368" s="4">
        <f t="shared" si="33"/>
        <v>225.13135593220341</v>
      </c>
      <c r="N368" s="3"/>
      <c r="O368" s="4">
        <f t="shared" si="35"/>
        <v>225.13135593220341</v>
      </c>
      <c r="P368" s="6">
        <f t="shared" si="34"/>
        <v>265.65500000000003</v>
      </c>
    </row>
    <row r="369" spans="1:16" x14ac:dyDescent="0.25">
      <c r="A369" s="2">
        <v>476170203</v>
      </c>
      <c r="B369" s="2" t="s">
        <v>391</v>
      </c>
      <c r="C369" s="3" t="s">
        <v>17</v>
      </c>
      <c r="D369" s="3" t="s">
        <v>200</v>
      </c>
      <c r="E369" s="3">
        <v>12</v>
      </c>
      <c r="F369" s="3">
        <v>3</v>
      </c>
      <c r="G369" s="3">
        <f t="shared" si="30"/>
        <v>4</v>
      </c>
      <c r="H369" s="3">
        <v>1230</v>
      </c>
      <c r="I369" s="4">
        <v>867.27300000000002</v>
      </c>
      <c r="J369" s="4">
        <f t="shared" si="31"/>
        <v>734.9771186440679</v>
      </c>
      <c r="K369" s="5">
        <v>0</v>
      </c>
      <c r="L369" s="5">
        <f t="shared" si="32"/>
        <v>0</v>
      </c>
      <c r="M369" s="4">
        <f t="shared" si="33"/>
        <v>734.9771186440679</v>
      </c>
      <c r="N369" s="3"/>
      <c r="O369" s="4">
        <f t="shared" si="35"/>
        <v>734.9771186440679</v>
      </c>
      <c r="P369" s="6">
        <f t="shared" si="34"/>
        <v>867.27300000000002</v>
      </c>
    </row>
    <row r="370" spans="1:16" x14ac:dyDescent="0.25">
      <c r="A370" s="2">
        <v>476170204</v>
      </c>
      <c r="B370" s="2" t="s">
        <v>392</v>
      </c>
      <c r="C370" s="3" t="s">
        <v>17</v>
      </c>
      <c r="D370" s="3" t="s">
        <v>200</v>
      </c>
      <c r="E370" s="3">
        <v>12</v>
      </c>
      <c r="F370" s="3">
        <v>3</v>
      </c>
      <c r="G370" s="3">
        <f t="shared" si="30"/>
        <v>4</v>
      </c>
      <c r="H370" s="3">
        <v>1230</v>
      </c>
      <c r="I370" s="4">
        <v>867.27300000000002</v>
      </c>
      <c r="J370" s="4">
        <f t="shared" si="31"/>
        <v>734.9771186440679</v>
      </c>
      <c r="K370" s="5">
        <v>20</v>
      </c>
      <c r="L370" s="5">
        <f t="shared" si="32"/>
        <v>60</v>
      </c>
      <c r="M370" s="4">
        <f t="shared" si="33"/>
        <v>674.9771186440679</v>
      </c>
      <c r="N370" s="3"/>
      <c r="O370" s="4">
        <f t="shared" si="35"/>
        <v>674.9771186440679</v>
      </c>
      <c r="P370" s="6">
        <f t="shared" si="34"/>
        <v>796.47300000000007</v>
      </c>
    </row>
    <row r="371" spans="1:16" x14ac:dyDescent="0.25">
      <c r="A371" s="2">
        <v>476170229</v>
      </c>
      <c r="B371" s="2" t="s">
        <v>393</v>
      </c>
      <c r="C371" s="3" t="s">
        <v>17</v>
      </c>
      <c r="D371" s="3" t="s">
        <v>200</v>
      </c>
      <c r="E371" s="3">
        <v>20</v>
      </c>
      <c r="F371" s="3">
        <v>1</v>
      </c>
      <c r="G371" s="3">
        <f t="shared" si="30"/>
        <v>20</v>
      </c>
      <c r="H371" s="3">
        <v>410</v>
      </c>
      <c r="I371" s="4">
        <v>289.255</v>
      </c>
      <c r="J371" s="4">
        <f t="shared" si="31"/>
        <v>245.13135593220341</v>
      </c>
      <c r="K371" s="5">
        <v>0</v>
      </c>
      <c r="L371" s="5">
        <f t="shared" si="32"/>
        <v>0</v>
      </c>
      <c r="M371" s="4">
        <f t="shared" si="33"/>
        <v>245.13135593220341</v>
      </c>
      <c r="N371" s="3"/>
      <c r="O371" s="4">
        <f t="shared" si="35"/>
        <v>245.13135593220341</v>
      </c>
      <c r="P371" s="6">
        <f t="shared" si="34"/>
        <v>289.255</v>
      </c>
    </row>
    <row r="372" spans="1:16" x14ac:dyDescent="0.25">
      <c r="A372" s="2">
        <v>476170234</v>
      </c>
      <c r="B372" s="2" t="s">
        <v>394</v>
      </c>
      <c r="C372" s="3" t="s">
        <v>17</v>
      </c>
      <c r="D372" s="3" t="s">
        <v>200</v>
      </c>
      <c r="E372" s="3">
        <v>20</v>
      </c>
      <c r="F372" s="3">
        <v>5</v>
      </c>
      <c r="G372" s="3">
        <f t="shared" si="30"/>
        <v>4</v>
      </c>
      <c r="H372" s="3">
        <v>2050</v>
      </c>
      <c r="I372" s="4">
        <v>1447.915</v>
      </c>
      <c r="J372" s="4">
        <f t="shared" si="31"/>
        <v>1227.0466101694915</v>
      </c>
      <c r="K372" s="5">
        <v>0</v>
      </c>
      <c r="L372" s="5">
        <f t="shared" si="32"/>
        <v>0</v>
      </c>
      <c r="M372" s="4">
        <f t="shared" si="33"/>
        <v>1227.0466101694915</v>
      </c>
      <c r="N372" s="3"/>
      <c r="O372" s="4">
        <f t="shared" si="35"/>
        <v>1227.0466101694915</v>
      </c>
      <c r="P372" s="6">
        <f t="shared" si="34"/>
        <v>1447.915</v>
      </c>
    </row>
    <row r="373" spans="1:16" x14ac:dyDescent="0.25">
      <c r="A373" s="2">
        <v>476170240</v>
      </c>
      <c r="B373" s="2" t="s">
        <v>395</v>
      </c>
      <c r="C373" s="3" t="s">
        <v>17</v>
      </c>
      <c r="D373" s="3" t="s">
        <v>200</v>
      </c>
      <c r="E373" s="3">
        <v>20</v>
      </c>
      <c r="F373" s="3">
        <v>5</v>
      </c>
      <c r="G373" s="3">
        <f t="shared" si="30"/>
        <v>4</v>
      </c>
      <c r="H373" s="3">
        <v>2050</v>
      </c>
      <c r="I373" s="4">
        <v>1447.915</v>
      </c>
      <c r="J373" s="4">
        <f t="shared" si="31"/>
        <v>1227.0466101694915</v>
      </c>
      <c r="K373" s="5">
        <v>20</v>
      </c>
      <c r="L373" s="5">
        <f t="shared" si="32"/>
        <v>100</v>
      </c>
      <c r="M373" s="4">
        <f t="shared" si="33"/>
        <v>1127.0466101694915</v>
      </c>
      <c r="N373" s="3"/>
      <c r="O373" s="4">
        <f t="shared" si="35"/>
        <v>1127.0466101694915</v>
      </c>
      <c r="P373" s="6">
        <f t="shared" si="34"/>
        <v>1329.915</v>
      </c>
    </row>
    <row r="374" spans="1:16" x14ac:dyDescent="0.25">
      <c r="A374" s="2">
        <v>476170241</v>
      </c>
      <c r="B374" s="2" t="s">
        <v>396</v>
      </c>
      <c r="C374" s="3" t="s">
        <v>17</v>
      </c>
      <c r="D374" s="3" t="s">
        <v>200</v>
      </c>
      <c r="E374" s="3">
        <v>10</v>
      </c>
      <c r="F374" s="3">
        <v>10</v>
      </c>
      <c r="G374" s="3">
        <f t="shared" si="30"/>
        <v>1</v>
      </c>
      <c r="H374" s="3">
        <v>4100</v>
      </c>
      <c r="I374" s="4">
        <v>2877.38</v>
      </c>
      <c r="J374" s="4">
        <f t="shared" si="31"/>
        <v>2438.4576271186443</v>
      </c>
      <c r="K374" s="5">
        <v>20</v>
      </c>
      <c r="L374" s="5">
        <f t="shared" si="32"/>
        <v>200</v>
      </c>
      <c r="M374" s="4">
        <f t="shared" si="33"/>
        <v>2238.4576271186443</v>
      </c>
      <c r="N374" s="3"/>
      <c r="O374" s="4">
        <f t="shared" si="35"/>
        <v>2238.4576271186443</v>
      </c>
      <c r="P374" s="6">
        <f t="shared" si="34"/>
        <v>2641.38</v>
      </c>
    </row>
    <row r="375" spans="1:16" x14ac:dyDescent="0.25">
      <c r="A375" s="2">
        <v>476170242</v>
      </c>
      <c r="B375" s="2" t="s">
        <v>397</v>
      </c>
      <c r="C375" s="3" t="s">
        <v>17</v>
      </c>
      <c r="D375" s="3" t="s">
        <v>200</v>
      </c>
      <c r="E375" s="3">
        <v>10</v>
      </c>
      <c r="F375" s="3">
        <v>10</v>
      </c>
      <c r="G375" s="3">
        <f t="shared" si="30"/>
        <v>1</v>
      </c>
      <c r="H375" s="3">
        <v>4100</v>
      </c>
      <c r="I375" s="4">
        <v>2877.38</v>
      </c>
      <c r="J375" s="4">
        <f t="shared" si="31"/>
        <v>2438.4576271186443</v>
      </c>
      <c r="K375" s="5">
        <v>0</v>
      </c>
      <c r="L375" s="5">
        <f t="shared" si="32"/>
        <v>0</v>
      </c>
      <c r="M375" s="4">
        <f t="shared" si="33"/>
        <v>2438.4576271186443</v>
      </c>
      <c r="N375" s="3"/>
      <c r="O375" s="4">
        <f t="shared" si="35"/>
        <v>2438.4576271186443</v>
      </c>
      <c r="P375" s="6">
        <f t="shared" si="34"/>
        <v>2877.38</v>
      </c>
    </row>
    <row r="376" spans="1:16" x14ac:dyDescent="0.25">
      <c r="A376" s="2">
        <v>476170250</v>
      </c>
      <c r="B376" s="2" t="s">
        <v>398</v>
      </c>
      <c r="C376" s="3" t="s">
        <v>17</v>
      </c>
      <c r="D376" s="3" t="s">
        <v>200</v>
      </c>
      <c r="E376" s="3">
        <v>7.5</v>
      </c>
      <c r="F376" s="3">
        <v>7.5</v>
      </c>
      <c r="G376" s="3">
        <f t="shared" si="30"/>
        <v>1</v>
      </c>
      <c r="H376" s="3">
        <v>3075</v>
      </c>
      <c r="I376" s="4">
        <v>2166.9524999999999</v>
      </c>
      <c r="J376" s="4">
        <f t="shared" si="31"/>
        <v>1836.4004237288136</v>
      </c>
      <c r="K376" s="5">
        <v>20</v>
      </c>
      <c r="L376" s="5">
        <f t="shared" si="32"/>
        <v>150</v>
      </c>
      <c r="M376" s="4">
        <f t="shared" si="33"/>
        <v>1686.4004237288136</v>
      </c>
      <c r="N376" s="3"/>
      <c r="O376" s="4">
        <f t="shared" si="35"/>
        <v>1686.4004237288136</v>
      </c>
      <c r="P376" s="6">
        <f t="shared" si="34"/>
        <v>1989.9524999999999</v>
      </c>
    </row>
    <row r="377" spans="1:16" x14ac:dyDescent="0.25">
      <c r="A377" s="2">
        <v>476170251</v>
      </c>
      <c r="B377" s="2" t="s">
        <v>399</v>
      </c>
      <c r="C377" s="3" t="s">
        <v>17</v>
      </c>
      <c r="D377" s="3" t="s">
        <v>200</v>
      </c>
      <c r="E377" s="3">
        <v>7.5</v>
      </c>
      <c r="F377" s="3">
        <v>7.5</v>
      </c>
      <c r="G377" s="3">
        <f t="shared" si="30"/>
        <v>1</v>
      </c>
      <c r="H377" s="3">
        <v>3075</v>
      </c>
      <c r="I377" s="4">
        <v>2166.9524999999999</v>
      </c>
      <c r="J377" s="4">
        <f t="shared" si="31"/>
        <v>1836.4004237288136</v>
      </c>
      <c r="K377" s="5">
        <v>0</v>
      </c>
      <c r="L377" s="5">
        <f t="shared" si="32"/>
        <v>0</v>
      </c>
      <c r="M377" s="4">
        <f t="shared" si="33"/>
        <v>1836.4004237288136</v>
      </c>
      <c r="N377" s="3"/>
      <c r="O377" s="4">
        <f t="shared" si="35"/>
        <v>1836.4004237288136</v>
      </c>
      <c r="P377" s="6">
        <f t="shared" si="34"/>
        <v>2166.9524999999999</v>
      </c>
    </row>
    <row r="378" spans="1:16" x14ac:dyDescent="0.25">
      <c r="A378" s="2">
        <v>476170253</v>
      </c>
      <c r="B378" s="2" t="s">
        <v>400</v>
      </c>
      <c r="C378" s="3" t="s">
        <v>17</v>
      </c>
      <c r="D378" s="3" t="s">
        <v>200</v>
      </c>
      <c r="E378" s="3">
        <v>15</v>
      </c>
      <c r="F378" s="3">
        <v>15</v>
      </c>
      <c r="G378" s="3">
        <f t="shared" si="30"/>
        <v>1</v>
      </c>
      <c r="H378" s="3">
        <v>6150</v>
      </c>
      <c r="I378" s="4">
        <v>4258.2599999999993</v>
      </c>
      <c r="J378" s="4">
        <f t="shared" si="31"/>
        <v>3608.694915254237</v>
      </c>
      <c r="K378" s="5">
        <v>20</v>
      </c>
      <c r="L378" s="5">
        <f t="shared" si="32"/>
        <v>300</v>
      </c>
      <c r="M378" s="4">
        <f t="shared" si="33"/>
        <v>3308.694915254237</v>
      </c>
      <c r="N378" s="3"/>
      <c r="O378" s="4">
        <f t="shared" si="35"/>
        <v>3308.694915254237</v>
      </c>
      <c r="P378" s="6">
        <f t="shared" si="34"/>
        <v>3904.2599999999993</v>
      </c>
    </row>
    <row r="379" spans="1:16" x14ac:dyDescent="0.25">
      <c r="A379" s="2">
        <v>476170256</v>
      </c>
      <c r="B379" s="2" t="s">
        <v>401</v>
      </c>
      <c r="C379" s="3" t="s">
        <v>17</v>
      </c>
      <c r="D379" s="3" t="s">
        <v>200</v>
      </c>
      <c r="E379" s="3">
        <v>15</v>
      </c>
      <c r="F379" s="3">
        <v>15</v>
      </c>
      <c r="G379" s="3">
        <f t="shared" si="30"/>
        <v>1</v>
      </c>
      <c r="H379" s="3">
        <v>6150</v>
      </c>
      <c r="I379" s="4">
        <v>4258.2599999999993</v>
      </c>
      <c r="J379" s="4">
        <f t="shared" si="31"/>
        <v>3608.694915254237</v>
      </c>
      <c r="K379" s="5">
        <v>0</v>
      </c>
      <c r="L379" s="5">
        <f t="shared" si="32"/>
        <v>0</v>
      </c>
      <c r="M379" s="4">
        <f t="shared" si="33"/>
        <v>3608.694915254237</v>
      </c>
      <c r="N379" s="3"/>
      <c r="O379" s="4">
        <f t="shared" si="35"/>
        <v>3608.694915254237</v>
      </c>
      <c r="P379" s="6">
        <f t="shared" si="34"/>
        <v>4258.2599999999993</v>
      </c>
    </row>
    <row r="380" spans="1:16" x14ac:dyDescent="0.25">
      <c r="A380" s="2">
        <v>476170265</v>
      </c>
      <c r="B380" s="2" t="s">
        <v>402</v>
      </c>
      <c r="C380" s="3" t="s">
        <v>17</v>
      </c>
      <c r="D380" s="3" t="s">
        <v>200</v>
      </c>
      <c r="E380" s="3">
        <v>20</v>
      </c>
      <c r="F380" s="3">
        <v>20</v>
      </c>
      <c r="G380" s="3">
        <f t="shared" si="30"/>
        <v>1</v>
      </c>
      <c r="H380" s="3">
        <v>8200</v>
      </c>
      <c r="I380" s="4">
        <v>5562.06</v>
      </c>
      <c r="J380" s="4">
        <f t="shared" si="31"/>
        <v>4713.610169491526</v>
      </c>
      <c r="K380" s="5">
        <v>0</v>
      </c>
      <c r="L380" s="5">
        <f t="shared" si="32"/>
        <v>0</v>
      </c>
      <c r="M380" s="4">
        <f t="shared" si="33"/>
        <v>4713.610169491526</v>
      </c>
      <c r="N380" s="3"/>
      <c r="O380" s="4">
        <f t="shared" si="35"/>
        <v>4713.610169491526</v>
      </c>
      <c r="P380" s="6">
        <f t="shared" si="34"/>
        <v>5562.06</v>
      </c>
    </row>
    <row r="381" spans="1:16" x14ac:dyDescent="0.25">
      <c r="A381" s="2">
        <v>476170269</v>
      </c>
      <c r="B381" s="2" t="s">
        <v>403</v>
      </c>
      <c r="C381" s="3" t="s">
        <v>17</v>
      </c>
      <c r="D381" s="3" t="s">
        <v>200</v>
      </c>
      <c r="E381" s="3">
        <v>20</v>
      </c>
      <c r="F381" s="3">
        <v>20</v>
      </c>
      <c r="G381" s="3">
        <f t="shared" si="30"/>
        <v>1</v>
      </c>
      <c r="H381" s="3">
        <v>8200</v>
      </c>
      <c r="I381" s="4">
        <v>5562.06</v>
      </c>
      <c r="J381" s="4">
        <f t="shared" si="31"/>
        <v>4713.610169491526</v>
      </c>
      <c r="K381" s="5">
        <v>20</v>
      </c>
      <c r="L381" s="5">
        <f t="shared" si="32"/>
        <v>400</v>
      </c>
      <c r="M381" s="4">
        <f t="shared" si="33"/>
        <v>4313.610169491526</v>
      </c>
      <c r="N381" s="3"/>
      <c r="O381" s="4">
        <f t="shared" si="35"/>
        <v>4313.610169491526</v>
      </c>
      <c r="P381" s="6">
        <f t="shared" si="34"/>
        <v>5090.0600000000004</v>
      </c>
    </row>
    <row r="382" spans="1:16" x14ac:dyDescent="0.25">
      <c r="A382" s="2">
        <v>476190174</v>
      </c>
      <c r="B382" s="2" t="s">
        <v>404</v>
      </c>
      <c r="C382" s="3" t="s">
        <v>17</v>
      </c>
      <c r="D382" s="3" t="s">
        <v>200</v>
      </c>
      <c r="E382" s="3">
        <v>20</v>
      </c>
      <c r="F382" s="3">
        <v>0.5</v>
      </c>
      <c r="G382" s="3">
        <f t="shared" si="30"/>
        <v>40</v>
      </c>
      <c r="H382" s="3">
        <v>225</v>
      </c>
      <c r="I382" s="4">
        <v>152.84250000000003</v>
      </c>
      <c r="J382" s="4">
        <f t="shared" si="31"/>
        <v>129.52754237288138</v>
      </c>
      <c r="K382" s="5">
        <v>0</v>
      </c>
      <c r="L382" s="5">
        <f t="shared" si="32"/>
        <v>0</v>
      </c>
      <c r="M382" s="4">
        <f t="shared" si="33"/>
        <v>129.52754237288138</v>
      </c>
      <c r="N382" s="3"/>
      <c r="O382" s="4">
        <f t="shared" si="35"/>
        <v>129.52754237288138</v>
      </c>
      <c r="P382" s="6">
        <f t="shared" si="34"/>
        <v>152.84250000000003</v>
      </c>
    </row>
    <row r="383" spans="1:16" x14ac:dyDescent="0.25">
      <c r="A383" s="2">
        <v>476190175</v>
      </c>
      <c r="B383" s="2" t="s">
        <v>405</v>
      </c>
      <c r="C383" s="3" t="s">
        <v>17</v>
      </c>
      <c r="D383" s="3" t="s">
        <v>200</v>
      </c>
      <c r="E383" s="3">
        <v>10</v>
      </c>
      <c r="F383" s="3">
        <v>0.5</v>
      </c>
      <c r="G383" s="3">
        <f t="shared" si="30"/>
        <v>20</v>
      </c>
      <c r="H383" s="3">
        <v>225</v>
      </c>
      <c r="I383" s="4">
        <v>152.84250000000003</v>
      </c>
      <c r="J383" s="4">
        <f t="shared" si="31"/>
        <v>129.52754237288138</v>
      </c>
      <c r="K383" s="5">
        <v>10</v>
      </c>
      <c r="L383" s="5">
        <f t="shared" si="32"/>
        <v>5</v>
      </c>
      <c r="M383" s="4">
        <f t="shared" si="33"/>
        <v>124.52754237288138</v>
      </c>
      <c r="N383" s="3"/>
      <c r="O383" s="4">
        <f t="shared" si="35"/>
        <v>124.52754237288138</v>
      </c>
      <c r="P383" s="6">
        <f t="shared" si="34"/>
        <v>146.94250000000002</v>
      </c>
    </row>
    <row r="384" spans="1:16" x14ac:dyDescent="0.25">
      <c r="A384" s="2">
        <v>476190184</v>
      </c>
      <c r="B384" s="2" t="s">
        <v>406</v>
      </c>
      <c r="C384" s="3" t="s">
        <v>17</v>
      </c>
      <c r="D384" s="3" t="s">
        <v>200</v>
      </c>
      <c r="E384" s="3">
        <v>20</v>
      </c>
      <c r="F384" s="3">
        <v>1</v>
      </c>
      <c r="G384" s="3">
        <f t="shared" si="30"/>
        <v>20</v>
      </c>
      <c r="H384" s="3">
        <v>425</v>
      </c>
      <c r="I384" s="4">
        <v>285.17499999999995</v>
      </c>
      <c r="J384" s="4">
        <f t="shared" si="31"/>
        <v>241.67372881355931</v>
      </c>
      <c r="K384" s="5">
        <v>20</v>
      </c>
      <c r="L384" s="5">
        <f t="shared" si="32"/>
        <v>20</v>
      </c>
      <c r="M384" s="4">
        <f t="shared" si="33"/>
        <v>221.67372881355931</v>
      </c>
      <c r="N384" s="3"/>
      <c r="O384" s="4">
        <f t="shared" si="35"/>
        <v>221.67372881355931</v>
      </c>
      <c r="P384" s="6">
        <f t="shared" si="34"/>
        <v>261.57499999999999</v>
      </c>
    </row>
    <row r="385" spans="1:16" x14ac:dyDescent="0.25">
      <c r="A385" s="2">
        <v>476190203</v>
      </c>
      <c r="B385" s="2" t="s">
        <v>407</v>
      </c>
      <c r="C385" s="3" t="s">
        <v>17</v>
      </c>
      <c r="D385" s="3" t="s">
        <v>200</v>
      </c>
      <c r="E385" s="3">
        <v>12</v>
      </c>
      <c r="F385" s="3">
        <v>3</v>
      </c>
      <c r="G385" s="3">
        <f t="shared" si="30"/>
        <v>4</v>
      </c>
      <c r="H385" s="3">
        <v>1275</v>
      </c>
      <c r="I385" s="4">
        <v>855.65250000000003</v>
      </c>
      <c r="J385" s="4">
        <f t="shared" si="31"/>
        <v>725.12923728813564</v>
      </c>
      <c r="K385" s="5">
        <v>0</v>
      </c>
      <c r="L385" s="5">
        <f t="shared" si="32"/>
        <v>0</v>
      </c>
      <c r="M385" s="4">
        <f t="shared" si="33"/>
        <v>725.12923728813564</v>
      </c>
      <c r="N385" s="3"/>
      <c r="O385" s="4">
        <f t="shared" si="35"/>
        <v>725.12923728813564</v>
      </c>
      <c r="P385" s="6">
        <f t="shared" si="34"/>
        <v>855.65250000000003</v>
      </c>
    </row>
    <row r="386" spans="1:16" x14ac:dyDescent="0.25">
      <c r="A386" s="2">
        <v>476190204</v>
      </c>
      <c r="B386" s="2" t="s">
        <v>408</v>
      </c>
      <c r="C386" s="3" t="s">
        <v>17</v>
      </c>
      <c r="D386" s="3" t="s">
        <v>200</v>
      </c>
      <c r="E386" s="3">
        <v>12</v>
      </c>
      <c r="F386" s="3">
        <v>3</v>
      </c>
      <c r="G386" s="3">
        <f t="shared" ref="G386:G449" si="36">E386/F386</f>
        <v>4</v>
      </c>
      <c r="H386" s="3">
        <v>1275</v>
      </c>
      <c r="I386" s="4">
        <v>855.65250000000003</v>
      </c>
      <c r="J386" s="4">
        <f t="shared" ref="J386:J449" si="37">I386/1.18</f>
        <v>725.12923728813564</v>
      </c>
      <c r="K386" s="5">
        <v>20</v>
      </c>
      <c r="L386" s="5">
        <f t="shared" ref="L386:L449" si="38">(K386)*F386</f>
        <v>60</v>
      </c>
      <c r="M386" s="4">
        <f t="shared" ref="M386:M449" si="39">J386-L386</f>
        <v>665.12923728813564</v>
      </c>
      <c r="N386" s="3"/>
      <c r="O386" s="4">
        <f t="shared" si="35"/>
        <v>665.12923728813564</v>
      </c>
      <c r="P386" s="6">
        <f t="shared" ref="P386:P449" si="40">O386*1.18</f>
        <v>784.85249999999996</v>
      </c>
    </row>
    <row r="387" spans="1:16" x14ac:dyDescent="0.25">
      <c r="A387" s="2">
        <v>476190229</v>
      </c>
      <c r="B387" s="2" t="s">
        <v>409</v>
      </c>
      <c r="C387" s="3" t="s">
        <v>17</v>
      </c>
      <c r="D387" s="3" t="s">
        <v>200</v>
      </c>
      <c r="E387" s="3">
        <v>20</v>
      </c>
      <c r="F387" s="3">
        <v>1</v>
      </c>
      <c r="G387" s="3">
        <f t="shared" si="36"/>
        <v>20</v>
      </c>
      <c r="H387" s="3">
        <v>425</v>
      </c>
      <c r="I387" s="4">
        <v>285.17499999999995</v>
      </c>
      <c r="J387" s="4">
        <f t="shared" si="37"/>
        <v>241.67372881355931</v>
      </c>
      <c r="K387" s="5">
        <v>0</v>
      </c>
      <c r="L387" s="5">
        <f t="shared" si="38"/>
        <v>0</v>
      </c>
      <c r="M387" s="4">
        <f t="shared" si="39"/>
        <v>241.67372881355931</v>
      </c>
      <c r="N387" s="3"/>
      <c r="O387" s="4">
        <f t="shared" ref="O387:O450" si="41">M387-N387</f>
        <v>241.67372881355931</v>
      </c>
      <c r="P387" s="6">
        <f t="shared" si="40"/>
        <v>285.17499999999995</v>
      </c>
    </row>
    <row r="388" spans="1:16" x14ac:dyDescent="0.25">
      <c r="A388" s="2">
        <v>476190265</v>
      </c>
      <c r="B388" s="2" t="s">
        <v>410</v>
      </c>
      <c r="C388" s="3" t="s">
        <v>17</v>
      </c>
      <c r="D388" s="3" t="s">
        <v>200</v>
      </c>
      <c r="E388" s="3">
        <v>20</v>
      </c>
      <c r="F388" s="3">
        <v>20</v>
      </c>
      <c r="G388" s="3">
        <f t="shared" si="36"/>
        <v>1</v>
      </c>
      <c r="H388" s="3">
        <v>8500</v>
      </c>
      <c r="I388" s="4">
        <v>5711.1500000000005</v>
      </c>
      <c r="J388" s="4">
        <f t="shared" si="37"/>
        <v>4839.9576271186452</v>
      </c>
      <c r="K388" s="5">
        <v>0</v>
      </c>
      <c r="L388" s="5">
        <f t="shared" si="38"/>
        <v>0</v>
      </c>
      <c r="M388" s="4">
        <f t="shared" si="39"/>
        <v>4839.9576271186452</v>
      </c>
      <c r="N388" s="3"/>
      <c r="O388" s="4">
        <f t="shared" si="41"/>
        <v>4839.9576271186452</v>
      </c>
      <c r="P388" s="6">
        <f t="shared" si="40"/>
        <v>5711.1500000000015</v>
      </c>
    </row>
    <row r="389" spans="1:16" x14ac:dyDescent="0.25">
      <c r="A389" s="2">
        <v>476190269</v>
      </c>
      <c r="B389" s="2" t="s">
        <v>411</v>
      </c>
      <c r="C389" s="3" t="s">
        <v>17</v>
      </c>
      <c r="D389" s="3" t="s">
        <v>200</v>
      </c>
      <c r="E389" s="3">
        <v>20</v>
      </c>
      <c r="F389" s="3">
        <v>20</v>
      </c>
      <c r="G389" s="3">
        <f t="shared" si="36"/>
        <v>1</v>
      </c>
      <c r="H389" s="3">
        <v>8500</v>
      </c>
      <c r="I389" s="4">
        <v>5711.1500000000005</v>
      </c>
      <c r="J389" s="4">
        <f t="shared" si="37"/>
        <v>4839.9576271186452</v>
      </c>
      <c r="K389" s="5">
        <v>20</v>
      </c>
      <c r="L389" s="5">
        <f t="shared" si="38"/>
        <v>400</v>
      </c>
      <c r="M389" s="4">
        <f t="shared" si="39"/>
        <v>4439.9576271186452</v>
      </c>
      <c r="N389" s="3"/>
      <c r="O389" s="4">
        <f t="shared" si="41"/>
        <v>4439.9576271186452</v>
      </c>
      <c r="P389" s="6">
        <f t="shared" si="40"/>
        <v>5239.1500000000015</v>
      </c>
    </row>
    <row r="390" spans="1:16" x14ac:dyDescent="0.25">
      <c r="A390" s="2">
        <v>476250175</v>
      </c>
      <c r="B390" s="2" t="s">
        <v>412</v>
      </c>
      <c r="C390" s="3" t="s">
        <v>17</v>
      </c>
      <c r="D390" s="3" t="s">
        <v>205</v>
      </c>
      <c r="E390" s="3">
        <v>10</v>
      </c>
      <c r="F390" s="3">
        <v>0.5</v>
      </c>
      <c r="G390" s="3">
        <f t="shared" si="36"/>
        <v>20</v>
      </c>
      <c r="H390" s="3">
        <v>225</v>
      </c>
      <c r="I390" s="4">
        <v>162.74250000000001</v>
      </c>
      <c r="J390" s="4">
        <f t="shared" si="37"/>
        <v>137.91737288135596</v>
      </c>
      <c r="K390" s="5">
        <v>20</v>
      </c>
      <c r="L390" s="5">
        <f t="shared" si="38"/>
        <v>10</v>
      </c>
      <c r="M390" s="4">
        <f t="shared" si="39"/>
        <v>127.91737288135596</v>
      </c>
      <c r="N390" s="3"/>
      <c r="O390" s="4">
        <f t="shared" si="41"/>
        <v>127.91737288135596</v>
      </c>
      <c r="P390" s="6">
        <f t="shared" si="40"/>
        <v>150.94250000000002</v>
      </c>
    </row>
    <row r="391" spans="1:16" x14ac:dyDescent="0.25">
      <c r="A391" s="2">
        <v>476250184</v>
      </c>
      <c r="B391" s="2" t="s">
        <v>413</v>
      </c>
      <c r="C391" s="3" t="s">
        <v>17</v>
      </c>
      <c r="D391" s="3" t="s">
        <v>205</v>
      </c>
      <c r="E391" s="3">
        <v>20</v>
      </c>
      <c r="F391" s="3">
        <v>1</v>
      </c>
      <c r="G391" s="3">
        <f t="shared" si="36"/>
        <v>20</v>
      </c>
      <c r="H391" s="3">
        <v>429</v>
      </c>
      <c r="I391" s="4">
        <v>305.44800000000004</v>
      </c>
      <c r="J391" s="4">
        <f t="shared" si="37"/>
        <v>258.85423728813566</v>
      </c>
      <c r="K391" s="5">
        <v>30</v>
      </c>
      <c r="L391" s="5">
        <f t="shared" si="38"/>
        <v>30</v>
      </c>
      <c r="M391" s="4">
        <f t="shared" si="39"/>
        <v>228.85423728813566</v>
      </c>
      <c r="N391" s="3"/>
      <c r="O391" s="4">
        <f t="shared" si="41"/>
        <v>228.85423728813566</v>
      </c>
      <c r="P391" s="6">
        <f t="shared" si="40"/>
        <v>270.04800000000006</v>
      </c>
    </row>
    <row r="392" spans="1:16" x14ac:dyDescent="0.25">
      <c r="A392" s="2">
        <v>476250199</v>
      </c>
      <c r="B392" s="2" t="s">
        <v>414</v>
      </c>
      <c r="C392" s="3" t="s">
        <v>17</v>
      </c>
      <c r="D392" s="3" t="s">
        <v>205</v>
      </c>
      <c r="E392" s="3">
        <v>8.4</v>
      </c>
      <c r="F392" s="3">
        <v>2.1</v>
      </c>
      <c r="G392" s="3">
        <f t="shared" si="36"/>
        <v>4</v>
      </c>
      <c r="H392" s="3">
        <v>895</v>
      </c>
      <c r="I392" s="4">
        <v>637.86649999999997</v>
      </c>
      <c r="J392" s="4">
        <f t="shared" si="37"/>
        <v>540.56483050847453</v>
      </c>
      <c r="K392" s="5">
        <v>0</v>
      </c>
      <c r="L392" s="5">
        <f t="shared" si="38"/>
        <v>0</v>
      </c>
      <c r="M392" s="4">
        <f t="shared" si="39"/>
        <v>540.56483050847453</v>
      </c>
      <c r="N392" s="3"/>
      <c r="O392" s="4">
        <f t="shared" si="41"/>
        <v>540.56483050847453</v>
      </c>
      <c r="P392" s="6">
        <f t="shared" si="40"/>
        <v>637.86649999999986</v>
      </c>
    </row>
    <row r="393" spans="1:16" x14ac:dyDescent="0.25">
      <c r="A393" s="2">
        <v>476250203</v>
      </c>
      <c r="B393" s="2" t="s">
        <v>415</v>
      </c>
      <c r="C393" s="3" t="s">
        <v>17</v>
      </c>
      <c r="D393" s="3" t="s">
        <v>205</v>
      </c>
      <c r="E393" s="3">
        <v>12</v>
      </c>
      <c r="F393" s="3">
        <v>3</v>
      </c>
      <c r="G393" s="3">
        <f t="shared" si="36"/>
        <v>4</v>
      </c>
      <c r="H393" s="3">
        <v>1274</v>
      </c>
      <c r="I393" s="4">
        <v>908.74419999999998</v>
      </c>
      <c r="J393" s="4">
        <f t="shared" si="37"/>
        <v>770.12220338983047</v>
      </c>
      <c r="K393" s="5">
        <v>0</v>
      </c>
      <c r="L393" s="5">
        <f t="shared" si="38"/>
        <v>0</v>
      </c>
      <c r="M393" s="4">
        <f t="shared" si="39"/>
        <v>770.12220338983047</v>
      </c>
      <c r="N393" s="3"/>
      <c r="O393" s="4">
        <f t="shared" si="41"/>
        <v>770.12220338983047</v>
      </c>
      <c r="P393" s="6">
        <f t="shared" si="40"/>
        <v>908.74419999999986</v>
      </c>
    </row>
    <row r="394" spans="1:16" x14ac:dyDescent="0.25">
      <c r="A394" s="2">
        <v>476250265</v>
      </c>
      <c r="B394" s="2" t="s">
        <v>416</v>
      </c>
      <c r="C394" s="3" t="s">
        <v>17</v>
      </c>
      <c r="D394" s="3" t="s">
        <v>205</v>
      </c>
      <c r="E394" s="3">
        <v>20</v>
      </c>
      <c r="F394" s="3">
        <v>20</v>
      </c>
      <c r="G394" s="3">
        <f t="shared" si="36"/>
        <v>1</v>
      </c>
      <c r="H394" s="3">
        <v>8401</v>
      </c>
      <c r="I394" s="4">
        <v>5994.1134999999995</v>
      </c>
      <c r="J394" s="4">
        <f t="shared" si="37"/>
        <v>5079.7572033898305</v>
      </c>
      <c r="K394" s="5">
        <v>0</v>
      </c>
      <c r="L394" s="5">
        <f t="shared" si="38"/>
        <v>0</v>
      </c>
      <c r="M394" s="4">
        <f t="shared" si="39"/>
        <v>5079.7572033898305</v>
      </c>
      <c r="N394" s="3"/>
      <c r="O394" s="4">
        <f t="shared" si="41"/>
        <v>5079.7572033898305</v>
      </c>
      <c r="P394" s="6">
        <f t="shared" si="40"/>
        <v>5994.1134999999995</v>
      </c>
    </row>
    <row r="395" spans="1:16" x14ac:dyDescent="0.25">
      <c r="A395" s="2">
        <v>476250269</v>
      </c>
      <c r="B395" s="2" t="s">
        <v>417</v>
      </c>
      <c r="C395" s="3" t="s">
        <v>17</v>
      </c>
      <c r="D395" s="3" t="s">
        <v>205</v>
      </c>
      <c r="E395" s="3">
        <v>20</v>
      </c>
      <c r="F395" s="3">
        <v>20</v>
      </c>
      <c r="G395" s="3">
        <f t="shared" si="36"/>
        <v>1</v>
      </c>
      <c r="H395" s="3">
        <v>8401</v>
      </c>
      <c r="I395" s="4">
        <v>5994.1134999999995</v>
      </c>
      <c r="J395" s="4">
        <f t="shared" si="37"/>
        <v>5079.7572033898305</v>
      </c>
      <c r="K395" s="5">
        <v>30</v>
      </c>
      <c r="L395" s="5">
        <f t="shared" si="38"/>
        <v>600</v>
      </c>
      <c r="M395" s="4">
        <f t="shared" si="39"/>
        <v>4479.7572033898305</v>
      </c>
      <c r="N395" s="3"/>
      <c r="O395" s="4">
        <f t="shared" si="41"/>
        <v>4479.7572033898305</v>
      </c>
      <c r="P395" s="6">
        <f t="shared" si="40"/>
        <v>5286.1134999999995</v>
      </c>
    </row>
    <row r="396" spans="1:16" x14ac:dyDescent="0.25">
      <c r="A396" s="2">
        <v>482340184</v>
      </c>
      <c r="B396" s="2" t="s">
        <v>418</v>
      </c>
      <c r="C396" s="3" t="s">
        <v>17</v>
      </c>
      <c r="D396" s="3" t="s">
        <v>200</v>
      </c>
      <c r="E396" s="3">
        <v>20</v>
      </c>
      <c r="F396" s="3">
        <v>1</v>
      </c>
      <c r="G396" s="3">
        <f t="shared" si="36"/>
        <v>20</v>
      </c>
      <c r="H396" s="3">
        <v>455</v>
      </c>
      <c r="I396" s="4">
        <v>314.35950000000003</v>
      </c>
      <c r="J396" s="4">
        <f t="shared" si="37"/>
        <v>266.40635593220344</v>
      </c>
      <c r="K396" s="5">
        <v>10</v>
      </c>
      <c r="L396" s="5">
        <f t="shared" si="38"/>
        <v>10</v>
      </c>
      <c r="M396" s="4">
        <f t="shared" si="39"/>
        <v>256.40635593220344</v>
      </c>
      <c r="N396" s="3"/>
      <c r="O396" s="4">
        <f t="shared" si="41"/>
        <v>256.40635593220344</v>
      </c>
      <c r="P396" s="6">
        <f t="shared" si="40"/>
        <v>302.55950000000001</v>
      </c>
    </row>
    <row r="397" spans="1:16" x14ac:dyDescent="0.25">
      <c r="A397" s="2">
        <v>482340195</v>
      </c>
      <c r="B397" s="2" t="s">
        <v>419</v>
      </c>
      <c r="C397" s="3" t="s">
        <v>17</v>
      </c>
      <c r="D397" s="3" t="s">
        <v>200</v>
      </c>
      <c r="E397" s="3">
        <v>10</v>
      </c>
      <c r="F397" s="3">
        <v>2.5</v>
      </c>
      <c r="G397" s="3">
        <f t="shared" si="36"/>
        <v>4</v>
      </c>
      <c r="H397" s="3">
        <v>1125</v>
      </c>
      <c r="I397" s="4">
        <v>799.875</v>
      </c>
      <c r="J397" s="4">
        <f t="shared" si="37"/>
        <v>677.86016949152543</v>
      </c>
      <c r="K397" s="5">
        <v>0</v>
      </c>
      <c r="L397" s="5">
        <f t="shared" si="38"/>
        <v>0</v>
      </c>
      <c r="M397" s="4">
        <f t="shared" si="39"/>
        <v>677.86016949152543</v>
      </c>
      <c r="N397" s="3"/>
      <c r="O397" s="4">
        <f t="shared" si="41"/>
        <v>677.86016949152543</v>
      </c>
      <c r="P397" s="6">
        <f t="shared" si="40"/>
        <v>799.875</v>
      </c>
    </row>
    <row r="398" spans="1:16" x14ac:dyDescent="0.25">
      <c r="A398" s="2">
        <v>482340203</v>
      </c>
      <c r="B398" s="2" t="s">
        <v>420</v>
      </c>
      <c r="C398" s="3" t="s">
        <v>17</v>
      </c>
      <c r="D398" s="3" t="s">
        <v>200</v>
      </c>
      <c r="E398" s="3">
        <v>12</v>
      </c>
      <c r="F398" s="3">
        <v>3</v>
      </c>
      <c r="G398" s="3">
        <f t="shared" si="36"/>
        <v>4</v>
      </c>
      <c r="H398" s="3">
        <v>1350</v>
      </c>
      <c r="I398" s="4">
        <v>943.11</v>
      </c>
      <c r="J398" s="4">
        <f t="shared" si="37"/>
        <v>799.24576271186447</v>
      </c>
      <c r="K398" s="5">
        <v>0</v>
      </c>
      <c r="L398" s="5">
        <f t="shared" si="38"/>
        <v>0</v>
      </c>
      <c r="M398" s="4">
        <f t="shared" si="39"/>
        <v>799.24576271186447</v>
      </c>
      <c r="N398" s="3"/>
      <c r="O398" s="4">
        <f t="shared" si="41"/>
        <v>799.24576271186447</v>
      </c>
      <c r="P398" s="6">
        <f t="shared" si="40"/>
        <v>943.11</v>
      </c>
    </row>
    <row r="399" spans="1:16" x14ac:dyDescent="0.25">
      <c r="A399" s="2">
        <v>482340204</v>
      </c>
      <c r="B399" s="2" t="s">
        <v>421</v>
      </c>
      <c r="C399" s="3" t="s">
        <v>17</v>
      </c>
      <c r="D399" s="3" t="s">
        <v>200</v>
      </c>
      <c r="E399" s="3">
        <v>12</v>
      </c>
      <c r="F399" s="3">
        <v>3</v>
      </c>
      <c r="G399" s="3">
        <f t="shared" si="36"/>
        <v>4</v>
      </c>
      <c r="H399" s="3">
        <v>1350</v>
      </c>
      <c r="I399" s="4">
        <v>943.11</v>
      </c>
      <c r="J399" s="4">
        <f t="shared" si="37"/>
        <v>799.24576271186447</v>
      </c>
      <c r="K399" s="5">
        <v>25</v>
      </c>
      <c r="L399" s="5">
        <f t="shared" si="38"/>
        <v>75</v>
      </c>
      <c r="M399" s="4">
        <f t="shared" si="39"/>
        <v>724.24576271186447</v>
      </c>
      <c r="N399" s="3"/>
      <c r="O399" s="4">
        <f t="shared" si="41"/>
        <v>724.24576271186447</v>
      </c>
      <c r="P399" s="6">
        <f t="shared" si="40"/>
        <v>854.61</v>
      </c>
    </row>
    <row r="400" spans="1:16" x14ac:dyDescent="0.25">
      <c r="A400" s="2">
        <v>482340229</v>
      </c>
      <c r="B400" s="2" t="s">
        <v>422</v>
      </c>
      <c r="C400" s="3" t="s">
        <v>17</v>
      </c>
      <c r="D400" s="3" t="s">
        <v>200</v>
      </c>
      <c r="E400" s="3">
        <v>20</v>
      </c>
      <c r="F400" s="3">
        <v>1</v>
      </c>
      <c r="G400" s="3">
        <f t="shared" si="36"/>
        <v>20</v>
      </c>
      <c r="H400" s="3">
        <v>455</v>
      </c>
      <c r="I400" s="4">
        <v>314.35950000000003</v>
      </c>
      <c r="J400" s="4">
        <f t="shared" si="37"/>
        <v>266.40635593220344</v>
      </c>
      <c r="K400" s="5">
        <v>0</v>
      </c>
      <c r="L400" s="5">
        <f t="shared" si="38"/>
        <v>0</v>
      </c>
      <c r="M400" s="4">
        <f t="shared" si="39"/>
        <v>266.40635593220344</v>
      </c>
      <c r="N400" s="3"/>
      <c r="O400" s="4">
        <f t="shared" si="41"/>
        <v>266.40635593220344</v>
      </c>
      <c r="P400" s="6">
        <f t="shared" si="40"/>
        <v>314.35950000000003</v>
      </c>
    </row>
    <row r="401" spans="1:16" x14ac:dyDescent="0.25">
      <c r="A401" s="2">
        <v>482340234</v>
      </c>
      <c r="B401" s="2" t="s">
        <v>423</v>
      </c>
      <c r="C401" s="3" t="s">
        <v>17</v>
      </c>
      <c r="D401" s="3" t="s">
        <v>200</v>
      </c>
      <c r="E401" s="3">
        <v>20</v>
      </c>
      <c r="F401" s="3">
        <v>5</v>
      </c>
      <c r="G401" s="3">
        <f t="shared" si="36"/>
        <v>4</v>
      </c>
      <c r="H401" s="3">
        <v>2250</v>
      </c>
      <c r="I401" s="4">
        <v>1557.45</v>
      </c>
      <c r="J401" s="4">
        <f t="shared" si="37"/>
        <v>1319.8728813559323</v>
      </c>
      <c r="K401" s="5">
        <v>0</v>
      </c>
      <c r="L401" s="5">
        <f t="shared" si="38"/>
        <v>0</v>
      </c>
      <c r="M401" s="4">
        <f t="shared" si="39"/>
        <v>1319.8728813559323</v>
      </c>
      <c r="N401" s="3"/>
      <c r="O401" s="4">
        <f t="shared" si="41"/>
        <v>1319.8728813559323</v>
      </c>
      <c r="P401" s="6">
        <f t="shared" si="40"/>
        <v>1557.45</v>
      </c>
    </row>
    <row r="402" spans="1:16" x14ac:dyDescent="0.25">
      <c r="A402" s="2">
        <v>482340240</v>
      </c>
      <c r="B402" s="2" t="s">
        <v>424</v>
      </c>
      <c r="C402" s="3" t="s">
        <v>17</v>
      </c>
      <c r="D402" s="3" t="s">
        <v>200</v>
      </c>
      <c r="E402" s="3">
        <v>20</v>
      </c>
      <c r="F402" s="3">
        <v>5</v>
      </c>
      <c r="G402" s="3">
        <f t="shared" si="36"/>
        <v>4</v>
      </c>
      <c r="H402" s="3">
        <v>2250</v>
      </c>
      <c r="I402" s="4">
        <v>1557.45</v>
      </c>
      <c r="J402" s="4">
        <f t="shared" si="37"/>
        <v>1319.8728813559323</v>
      </c>
      <c r="K402" s="5">
        <v>10</v>
      </c>
      <c r="L402" s="5">
        <f t="shared" si="38"/>
        <v>50</v>
      </c>
      <c r="M402" s="4">
        <f t="shared" si="39"/>
        <v>1269.8728813559323</v>
      </c>
      <c r="N402" s="3"/>
      <c r="O402" s="4">
        <f t="shared" si="41"/>
        <v>1269.8728813559323</v>
      </c>
      <c r="P402" s="6">
        <f t="shared" si="40"/>
        <v>1498.45</v>
      </c>
    </row>
    <row r="403" spans="1:16" x14ac:dyDescent="0.25">
      <c r="A403" s="2">
        <v>482340241</v>
      </c>
      <c r="B403" s="2" t="s">
        <v>425</v>
      </c>
      <c r="C403" s="3" t="s">
        <v>22</v>
      </c>
      <c r="D403" s="3" t="s">
        <v>200</v>
      </c>
      <c r="E403" s="3">
        <v>10</v>
      </c>
      <c r="F403" s="3">
        <v>10</v>
      </c>
      <c r="G403" s="3">
        <f t="shared" si="36"/>
        <v>1</v>
      </c>
      <c r="H403" s="3">
        <v>4500</v>
      </c>
      <c r="I403" s="4">
        <v>3082.9500000000003</v>
      </c>
      <c r="J403" s="4">
        <f t="shared" si="37"/>
        <v>2612.6694915254243</v>
      </c>
      <c r="K403" s="5">
        <v>10</v>
      </c>
      <c r="L403" s="5">
        <f t="shared" si="38"/>
        <v>100</v>
      </c>
      <c r="M403" s="4">
        <f t="shared" si="39"/>
        <v>2512.6694915254243</v>
      </c>
      <c r="N403" s="3"/>
      <c r="O403" s="4">
        <f t="shared" si="41"/>
        <v>2512.6694915254243</v>
      </c>
      <c r="P403" s="6">
        <f t="shared" si="40"/>
        <v>2964.9500000000007</v>
      </c>
    </row>
    <row r="404" spans="1:16" x14ac:dyDescent="0.25">
      <c r="A404" s="2">
        <v>482340242</v>
      </c>
      <c r="B404" s="2" t="s">
        <v>426</v>
      </c>
      <c r="C404" s="3" t="s">
        <v>22</v>
      </c>
      <c r="D404" s="3" t="s">
        <v>200</v>
      </c>
      <c r="E404" s="3">
        <v>10</v>
      </c>
      <c r="F404" s="3">
        <v>10</v>
      </c>
      <c r="G404" s="3">
        <f t="shared" si="36"/>
        <v>1</v>
      </c>
      <c r="H404" s="3">
        <v>4500</v>
      </c>
      <c r="I404" s="4">
        <v>3082.9500000000003</v>
      </c>
      <c r="J404" s="4">
        <f t="shared" si="37"/>
        <v>2612.6694915254243</v>
      </c>
      <c r="K404" s="5">
        <v>0</v>
      </c>
      <c r="L404" s="5">
        <f t="shared" si="38"/>
        <v>0</v>
      </c>
      <c r="M404" s="4">
        <f t="shared" si="39"/>
        <v>2612.6694915254243</v>
      </c>
      <c r="N404" s="3"/>
      <c r="O404" s="4">
        <f t="shared" si="41"/>
        <v>2612.6694915254243</v>
      </c>
      <c r="P404" s="6">
        <f t="shared" si="40"/>
        <v>3082.9500000000007</v>
      </c>
    </row>
    <row r="405" spans="1:16" x14ac:dyDescent="0.25">
      <c r="A405" s="2">
        <v>482340250</v>
      </c>
      <c r="B405" s="2" t="s">
        <v>427</v>
      </c>
      <c r="C405" s="3" t="s">
        <v>22</v>
      </c>
      <c r="D405" s="3" t="s">
        <v>200</v>
      </c>
      <c r="E405" s="3">
        <v>7.5</v>
      </c>
      <c r="F405" s="3">
        <v>7.5</v>
      </c>
      <c r="G405" s="3">
        <f t="shared" si="36"/>
        <v>1</v>
      </c>
      <c r="H405" s="3">
        <v>3375</v>
      </c>
      <c r="I405" s="4">
        <v>2346.9750000000004</v>
      </c>
      <c r="J405" s="4">
        <f t="shared" si="37"/>
        <v>1988.96186440678</v>
      </c>
      <c r="K405" s="5">
        <v>10</v>
      </c>
      <c r="L405" s="5">
        <f t="shared" si="38"/>
        <v>75</v>
      </c>
      <c r="M405" s="4">
        <f t="shared" si="39"/>
        <v>1913.96186440678</v>
      </c>
      <c r="N405" s="3"/>
      <c r="O405" s="4">
        <f t="shared" si="41"/>
        <v>1913.96186440678</v>
      </c>
      <c r="P405" s="6">
        <f t="shared" si="40"/>
        <v>2258.4750000000004</v>
      </c>
    </row>
    <row r="406" spans="1:16" x14ac:dyDescent="0.25">
      <c r="A406" s="2">
        <v>482340251</v>
      </c>
      <c r="B406" s="2" t="s">
        <v>428</v>
      </c>
      <c r="C406" s="3" t="s">
        <v>22</v>
      </c>
      <c r="D406" s="3" t="s">
        <v>200</v>
      </c>
      <c r="E406" s="3">
        <v>7.5</v>
      </c>
      <c r="F406" s="3">
        <v>7.5</v>
      </c>
      <c r="G406" s="3">
        <f t="shared" si="36"/>
        <v>1</v>
      </c>
      <c r="H406" s="3">
        <v>3375</v>
      </c>
      <c r="I406" s="4">
        <v>2346.9750000000004</v>
      </c>
      <c r="J406" s="4">
        <f t="shared" si="37"/>
        <v>1988.96186440678</v>
      </c>
      <c r="K406" s="5">
        <v>0</v>
      </c>
      <c r="L406" s="5">
        <f t="shared" si="38"/>
        <v>0</v>
      </c>
      <c r="M406" s="4">
        <f t="shared" si="39"/>
        <v>1988.96186440678</v>
      </c>
      <c r="N406" s="3"/>
      <c r="O406" s="4">
        <f t="shared" si="41"/>
        <v>1988.96186440678</v>
      </c>
      <c r="P406" s="6">
        <f t="shared" si="40"/>
        <v>2346.9750000000004</v>
      </c>
    </row>
    <row r="407" spans="1:16" x14ac:dyDescent="0.25">
      <c r="A407" s="2">
        <v>482340253</v>
      </c>
      <c r="B407" s="2" t="s">
        <v>429</v>
      </c>
      <c r="C407" s="3" t="s">
        <v>22</v>
      </c>
      <c r="D407" s="3" t="s">
        <v>200</v>
      </c>
      <c r="E407" s="3">
        <v>15</v>
      </c>
      <c r="F407" s="3">
        <v>15</v>
      </c>
      <c r="G407" s="3">
        <f t="shared" si="36"/>
        <v>1</v>
      </c>
      <c r="H407" s="3">
        <v>6750</v>
      </c>
      <c r="I407" s="4">
        <v>4578.5250000000005</v>
      </c>
      <c r="J407" s="4">
        <f t="shared" si="37"/>
        <v>3880.1059322033907</v>
      </c>
      <c r="K407" s="5">
        <v>10</v>
      </c>
      <c r="L407" s="5">
        <f t="shared" si="38"/>
        <v>150</v>
      </c>
      <c r="M407" s="4">
        <f t="shared" si="39"/>
        <v>3730.1059322033907</v>
      </c>
      <c r="N407" s="3"/>
      <c r="O407" s="4">
        <f t="shared" si="41"/>
        <v>3730.1059322033907</v>
      </c>
      <c r="P407" s="6">
        <f t="shared" si="40"/>
        <v>4401.5250000000005</v>
      </c>
    </row>
    <row r="408" spans="1:16" x14ac:dyDescent="0.25">
      <c r="A408" s="2">
        <v>482340256</v>
      </c>
      <c r="B408" s="2" t="s">
        <v>430</v>
      </c>
      <c r="C408" s="3" t="s">
        <v>22</v>
      </c>
      <c r="D408" s="3" t="s">
        <v>200</v>
      </c>
      <c r="E408" s="3">
        <v>15</v>
      </c>
      <c r="F408" s="3">
        <v>15</v>
      </c>
      <c r="G408" s="3">
        <f t="shared" si="36"/>
        <v>1</v>
      </c>
      <c r="H408" s="3">
        <v>6750</v>
      </c>
      <c r="I408" s="4">
        <v>4578.5250000000005</v>
      </c>
      <c r="J408" s="4">
        <f t="shared" si="37"/>
        <v>3880.1059322033907</v>
      </c>
      <c r="K408" s="5">
        <v>0</v>
      </c>
      <c r="L408" s="5">
        <f t="shared" si="38"/>
        <v>0</v>
      </c>
      <c r="M408" s="4">
        <f t="shared" si="39"/>
        <v>3880.1059322033907</v>
      </c>
      <c r="N408" s="3"/>
      <c r="O408" s="4">
        <f t="shared" si="41"/>
        <v>3880.1059322033907</v>
      </c>
      <c r="P408" s="6">
        <f t="shared" si="40"/>
        <v>4578.5250000000005</v>
      </c>
    </row>
    <row r="409" spans="1:16" x14ac:dyDescent="0.25">
      <c r="A409" s="2">
        <v>482340265</v>
      </c>
      <c r="B409" s="2" t="s">
        <v>431</v>
      </c>
      <c r="C409" s="3" t="s">
        <v>22</v>
      </c>
      <c r="D409" s="3" t="s">
        <v>200</v>
      </c>
      <c r="E409" s="3">
        <v>20</v>
      </c>
      <c r="F409" s="3">
        <v>20</v>
      </c>
      <c r="G409" s="3">
        <f t="shared" si="36"/>
        <v>1</v>
      </c>
      <c r="H409" s="3">
        <v>9000</v>
      </c>
      <c r="I409" s="4">
        <v>6086.7</v>
      </c>
      <c r="J409" s="4">
        <f t="shared" si="37"/>
        <v>5158.2203389830511</v>
      </c>
      <c r="K409" s="5">
        <v>0</v>
      </c>
      <c r="L409" s="5">
        <f t="shared" si="38"/>
        <v>0</v>
      </c>
      <c r="M409" s="4">
        <f t="shared" si="39"/>
        <v>5158.2203389830511</v>
      </c>
      <c r="N409" s="3"/>
      <c r="O409" s="4">
        <f t="shared" si="41"/>
        <v>5158.2203389830511</v>
      </c>
      <c r="P409" s="6">
        <f t="shared" si="40"/>
        <v>6086.7</v>
      </c>
    </row>
    <row r="410" spans="1:16" x14ac:dyDescent="0.25">
      <c r="A410" s="2">
        <v>482340269</v>
      </c>
      <c r="B410" s="2" t="s">
        <v>432</v>
      </c>
      <c r="C410" s="3" t="s">
        <v>22</v>
      </c>
      <c r="D410" s="3" t="s">
        <v>200</v>
      </c>
      <c r="E410" s="3">
        <v>20</v>
      </c>
      <c r="F410" s="3">
        <v>20</v>
      </c>
      <c r="G410" s="3">
        <f t="shared" si="36"/>
        <v>1</v>
      </c>
      <c r="H410" s="3">
        <v>9000</v>
      </c>
      <c r="I410" s="4">
        <v>6086.7</v>
      </c>
      <c r="J410" s="4">
        <f t="shared" si="37"/>
        <v>5158.2203389830511</v>
      </c>
      <c r="K410" s="5">
        <v>10</v>
      </c>
      <c r="L410" s="5">
        <f t="shared" si="38"/>
        <v>200</v>
      </c>
      <c r="M410" s="4">
        <f t="shared" si="39"/>
        <v>4958.2203389830511</v>
      </c>
      <c r="N410" s="3"/>
      <c r="O410" s="4">
        <f t="shared" si="41"/>
        <v>4958.2203389830511</v>
      </c>
      <c r="P410" s="6">
        <f t="shared" si="40"/>
        <v>5850.7</v>
      </c>
    </row>
    <row r="411" spans="1:16" x14ac:dyDescent="0.25">
      <c r="A411" s="2">
        <v>621130229</v>
      </c>
      <c r="B411" s="2" t="s">
        <v>433</v>
      </c>
      <c r="C411" s="3" t="s">
        <v>17</v>
      </c>
      <c r="D411" s="3" t="s">
        <v>269</v>
      </c>
      <c r="E411" s="3">
        <v>20</v>
      </c>
      <c r="F411" s="3">
        <v>1</v>
      </c>
      <c r="G411" s="3">
        <f t="shared" si="36"/>
        <v>20</v>
      </c>
      <c r="H411" s="3">
        <v>755</v>
      </c>
      <c r="I411" s="4">
        <v>507.43549999999999</v>
      </c>
      <c r="J411" s="4">
        <f t="shared" si="37"/>
        <v>430.03008474576274</v>
      </c>
      <c r="K411" s="5">
        <v>0</v>
      </c>
      <c r="L411" s="5">
        <f t="shared" si="38"/>
        <v>0</v>
      </c>
      <c r="M411" s="4">
        <f t="shared" si="39"/>
        <v>430.03008474576274</v>
      </c>
      <c r="N411" s="3"/>
      <c r="O411" s="4">
        <f t="shared" si="41"/>
        <v>430.03008474576274</v>
      </c>
      <c r="P411" s="6">
        <f t="shared" si="40"/>
        <v>507.43549999999999</v>
      </c>
    </row>
    <row r="412" spans="1:16" x14ac:dyDescent="0.25">
      <c r="A412" s="2">
        <v>621130230</v>
      </c>
      <c r="B412" s="2" t="s">
        <v>434</v>
      </c>
      <c r="C412" s="3" t="s">
        <v>17</v>
      </c>
      <c r="D412" s="3" t="s">
        <v>269</v>
      </c>
      <c r="E412" s="3">
        <v>18</v>
      </c>
      <c r="F412" s="3">
        <v>0.9</v>
      </c>
      <c r="G412" s="3">
        <f t="shared" si="36"/>
        <v>20</v>
      </c>
      <c r="H412" s="3">
        <v>694</v>
      </c>
      <c r="I412" s="4">
        <v>466.6456</v>
      </c>
      <c r="J412" s="4">
        <f t="shared" si="37"/>
        <v>395.46237288135598</v>
      </c>
      <c r="K412" s="5">
        <v>0</v>
      </c>
      <c r="L412" s="5">
        <f t="shared" si="38"/>
        <v>0</v>
      </c>
      <c r="M412" s="4">
        <f t="shared" si="39"/>
        <v>395.46237288135598</v>
      </c>
      <c r="N412" s="3"/>
      <c r="O412" s="4">
        <f t="shared" si="41"/>
        <v>395.46237288135598</v>
      </c>
      <c r="P412" s="6">
        <f t="shared" si="40"/>
        <v>466.6456</v>
      </c>
    </row>
    <row r="413" spans="1:16" x14ac:dyDescent="0.25">
      <c r="A413" s="2">
        <v>621230229</v>
      </c>
      <c r="B413" s="2" t="s">
        <v>435</v>
      </c>
      <c r="C413" s="3" t="s">
        <v>17</v>
      </c>
      <c r="D413" s="3" t="s">
        <v>269</v>
      </c>
      <c r="E413" s="3">
        <v>20</v>
      </c>
      <c r="F413" s="3">
        <v>1</v>
      </c>
      <c r="G413" s="3">
        <f t="shared" si="36"/>
        <v>20</v>
      </c>
      <c r="H413" s="3">
        <v>767</v>
      </c>
      <c r="I413" s="4">
        <v>516.11430000000007</v>
      </c>
      <c r="J413" s="4">
        <f t="shared" si="37"/>
        <v>437.3850000000001</v>
      </c>
      <c r="K413" s="5">
        <v>0</v>
      </c>
      <c r="L413" s="5">
        <f t="shared" si="38"/>
        <v>0</v>
      </c>
      <c r="M413" s="4">
        <f t="shared" si="39"/>
        <v>437.3850000000001</v>
      </c>
      <c r="N413" s="4">
        <f t="shared" ref="N413:N435" si="42">M413/21</f>
        <v>20.827857142857148</v>
      </c>
      <c r="O413" s="4">
        <f t="shared" si="41"/>
        <v>416.55714285714294</v>
      </c>
      <c r="P413" s="6">
        <f t="shared" si="40"/>
        <v>491.53742857142862</v>
      </c>
    </row>
    <row r="414" spans="1:16" x14ac:dyDescent="0.25">
      <c r="A414" s="2">
        <v>621230230</v>
      </c>
      <c r="B414" s="2" t="s">
        <v>436</v>
      </c>
      <c r="C414" s="3" t="s">
        <v>17</v>
      </c>
      <c r="D414" s="3" t="s">
        <v>269</v>
      </c>
      <c r="E414" s="3">
        <v>18</v>
      </c>
      <c r="F414" s="3">
        <v>0.9</v>
      </c>
      <c r="G414" s="3">
        <f t="shared" si="36"/>
        <v>20</v>
      </c>
      <c r="H414" s="3">
        <v>705</v>
      </c>
      <c r="I414" s="4">
        <v>474.39450000000005</v>
      </c>
      <c r="J414" s="4">
        <f t="shared" si="37"/>
        <v>402.02923728813568</v>
      </c>
      <c r="K414" s="5">
        <v>0</v>
      </c>
      <c r="L414" s="5">
        <f t="shared" si="38"/>
        <v>0</v>
      </c>
      <c r="M414" s="4">
        <f t="shared" si="39"/>
        <v>402.02923728813568</v>
      </c>
      <c r="N414" s="4">
        <f t="shared" si="42"/>
        <v>19.144249394673128</v>
      </c>
      <c r="O414" s="4">
        <f t="shared" si="41"/>
        <v>382.88498789346255</v>
      </c>
      <c r="P414" s="6">
        <f t="shared" si="40"/>
        <v>451.80428571428581</v>
      </c>
    </row>
    <row r="415" spans="1:16" x14ac:dyDescent="0.25">
      <c r="A415" s="2">
        <v>621240229</v>
      </c>
      <c r="B415" s="2" t="s">
        <v>437</v>
      </c>
      <c r="C415" s="3" t="s">
        <v>17</v>
      </c>
      <c r="D415" s="3" t="s">
        <v>269</v>
      </c>
      <c r="E415" s="3">
        <v>20</v>
      </c>
      <c r="F415" s="3">
        <v>1</v>
      </c>
      <c r="G415" s="3">
        <f t="shared" si="36"/>
        <v>20</v>
      </c>
      <c r="H415" s="3">
        <v>767</v>
      </c>
      <c r="I415" s="4">
        <v>516.11430000000007</v>
      </c>
      <c r="J415" s="4">
        <f t="shared" si="37"/>
        <v>437.3850000000001</v>
      </c>
      <c r="K415" s="5">
        <v>0</v>
      </c>
      <c r="L415" s="5">
        <f t="shared" si="38"/>
        <v>0</v>
      </c>
      <c r="M415" s="4">
        <f t="shared" si="39"/>
        <v>437.3850000000001</v>
      </c>
      <c r="N415" s="4">
        <f t="shared" si="42"/>
        <v>20.827857142857148</v>
      </c>
      <c r="O415" s="4">
        <f t="shared" si="41"/>
        <v>416.55714285714294</v>
      </c>
      <c r="P415" s="6">
        <f t="shared" si="40"/>
        <v>491.53742857142862</v>
      </c>
    </row>
    <row r="416" spans="1:16" x14ac:dyDescent="0.25">
      <c r="A416" s="2">
        <v>621240230</v>
      </c>
      <c r="B416" s="2" t="s">
        <v>438</v>
      </c>
      <c r="C416" s="3" t="s">
        <v>17</v>
      </c>
      <c r="D416" s="3" t="s">
        <v>269</v>
      </c>
      <c r="E416" s="3">
        <v>18</v>
      </c>
      <c r="F416" s="3">
        <v>0.9</v>
      </c>
      <c r="G416" s="3">
        <f t="shared" si="36"/>
        <v>20</v>
      </c>
      <c r="H416" s="3">
        <v>705</v>
      </c>
      <c r="I416" s="4">
        <v>474.39450000000005</v>
      </c>
      <c r="J416" s="4">
        <f t="shared" si="37"/>
        <v>402.02923728813568</v>
      </c>
      <c r="K416" s="5">
        <v>0</v>
      </c>
      <c r="L416" s="5">
        <f t="shared" si="38"/>
        <v>0</v>
      </c>
      <c r="M416" s="4">
        <f t="shared" si="39"/>
        <v>402.02923728813568</v>
      </c>
      <c r="N416" s="4">
        <f t="shared" si="42"/>
        <v>19.144249394673128</v>
      </c>
      <c r="O416" s="4">
        <f t="shared" si="41"/>
        <v>382.88498789346255</v>
      </c>
      <c r="P416" s="6">
        <f t="shared" si="40"/>
        <v>451.80428571428581</v>
      </c>
    </row>
    <row r="417" spans="1:16" x14ac:dyDescent="0.25">
      <c r="A417" s="2">
        <v>621350022</v>
      </c>
      <c r="B417" s="2" t="s">
        <v>439</v>
      </c>
      <c r="C417" s="3" t="s">
        <v>17</v>
      </c>
      <c r="D417" s="3" t="s">
        <v>269</v>
      </c>
      <c r="E417" s="3">
        <v>12</v>
      </c>
      <c r="F417" s="3">
        <v>1.2</v>
      </c>
      <c r="G417" s="3">
        <f t="shared" si="36"/>
        <v>10</v>
      </c>
      <c r="H417" s="3">
        <v>956</v>
      </c>
      <c r="I417" s="4">
        <v>646.16039999999998</v>
      </c>
      <c r="J417" s="4">
        <f t="shared" si="37"/>
        <v>547.59355932203391</v>
      </c>
      <c r="K417" s="5">
        <v>0</v>
      </c>
      <c r="L417" s="5">
        <f t="shared" si="38"/>
        <v>0</v>
      </c>
      <c r="M417" s="4">
        <f t="shared" si="39"/>
        <v>547.59355932203391</v>
      </c>
      <c r="N417" s="4">
        <f t="shared" si="42"/>
        <v>26.07588377723971</v>
      </c>
      <c r="O417" s="4">
        <f t="shared" si="41"/>
        <v>521.5176755447942</v>
      </c>
      <c r="P417" s="6">
        <f t="shared" si="40"/>
        <v>615.39085714285716</v>
      </c>
    </row>
    <row r="418" spans="1:16" x14ac:dyDescent="0.25">
      <c r="A418" s="2">
        <v>621350294</v>
      </c>
      <c r="B418" s="2" t="s">
        <v>440</v>
      </c>
      <c r="C418" s="3" t="s">
        <v>17</v>
      </c>
      <c r="D418" s="3" t="s">
        <v>269</v>
      </c>
      <c r="E418" s="3">
        <v>10</v>
      </c>
      <c r="F418" s="3">
        <v>2.5</v>
      </c>
      <c r="G418" s="3">
        <f t="shared" si="36"/>
        <v>4</v>
      </c>
      <c r="H418" s="3">
        <v>1937</v>
      </c>
      <c r="I418" s="4">
        <v>1303.7947000000001</v>
      </c>
      <c r="J418" s="4">
        <f t="shared" si="37"/>
        <v>1104.9107627118647</v>
      </c>
      <c r="K418" s="5">
        <v>0</v>
      </c>
      <c r="L418" s="5">
        <f t="shared" si="38"/>
        <v>0</v>
      </c>
      <c r="M418" s="4">
        <f t="shared" si="39"/>
        <v>1104.9107627118647</v>
      </c>
      <c r="N418" s="4">
        <f t="shared" si="42"/>
        <v>52.61479822437451</v>
      </c>
      <c r="O418" s="4">
        <f t="shared" si="41"/>
        <v>1052.2959644874902</v>
      </c>
      <c r="P418" s="6">
        <f t="shared" si="40"/>
        <v>1241.7092380952383</v>
      </c>
    </row>
    <row r="419" spans="1:16" x14ac:dyDescent="0.25">
      <c r="A419" s="2">
        <v>621440229</v>
      </c>
      <c r="B419" s="2" t="s">
        <v>441</v>
      </c>
      <c r="C419" s="3" t="s">
        <v>17</v>
      </c>
      <c r="D419" s="3" t="s">
        <v>269</v>
      </c>
      <c r="E419" s="3">
        <v>20</v>
      </c>
      <c r="F419" s="3">
        <v>1</v>
      </c>
      <c r="G419" s="3">
        <f t="shared" si="36"/>
        <v>20</v>
      </c>
      <c r="H419" s="3">
        <v>775</v>
      </c>
      <c r="I419" s="4">
        <v>521.41999999999996</v>
      </c>
      <c r="J419" s="4">
        <f t="shared" si="37"/>
        <v>441.88135593220341</v>
      </c>
      <c r="K419" s="5">
        <v>0</v>
      </c>
      <c r="L419" s="5">
        <f t="shared" si="38"/>
        <v>0</v>
      </c>
      <c r="M419" s="4">
        <f t="shared" si="39"/>
        <v>441.88135593220341</v>
      </c>
      <c r="N419" s="4">
        <f t="shared" si="42"/>
        <v>21.041969330104923</v>
      </c>
      <c r="O419" s="4">
        <f t="shared" si="41"/>
        <v>420.8393866020985</v>
      </c>
      <c r="P419" s="6">
        <f t="shared" si="40"/>
        <v>496.59047619047618</v>
      </c>
    </row>
    <row r="420" spans="1:16" x14ac:dyDescent="0.25">
      <c r="A420" s="2">
        <v>621440230</v>
      </c>
      <c r="B420" s="2" t="s">
        <v>442</v>
      </c>
      <c r="C420" s="3" t="s">
        <v>17</v>
      </c>
      <c r="D420" s="3" t="s">
        <v>269</v>
      </c>
      <c r="E420" s="3">
        <v>18</v>
      </c>
      <c r="F420" s="3">
        <v>0.9</v>
      </c>
      <c r="G420" s="3">
        <f t="shared" si="36"/>
        <v>20</v>
      </c>
      <c r="H420" s="3">
        <v>725</v>
      </c>
      <c r="I420" s="4">
        <v>484.44499999999994</v>
      </c>
      <c r="J420" s="4">
        <f t="shared" si="37"/>
        <v>410.54661016949149</v>
      </c>
      <c r="K420" s="5">
        <v>0</v>
      </c>
      <c r="L420" s="5">
        <f t="shared" si="38"/>
        <v>0</v>
      </c>
      <c r="M420" s="4">
        <f t="shared" si="39"/>
        <v>410.54661016949149</v>
      </c>
      <c r="N420" s="4">
        <f t="shared" si="42"/>
        <v>19.549838579499596</v>
      </c>
      <c r="O420" s="4">
        <f t="shared" si="41"/>
        <v>390.99677158999191</v>
      </c>
      <c r="P420" s="6">
        <f t="shared" si="40"/>
        <v>461.3761904761904</v>
      </c>
    </row>
    <row r="421" spans="1:16" x14ac:dyDescent="0.25">
      <c r="A421" s="2">
        <v>621450022</v>
      </c>
      <c r="B421" s="2" t="s">
        <v>443</v>
      </c>
      <c r="C421" s="3" t="s">
        <v>17</v>
      </c>
      <c r="D421" s="3" t="s">
        <v>269</v>
      </c>
      <c r="E421" s="3">
        <v>12</v>
      </c>
      <c r="F421" s="3">
        <v>1.2</v>
      </c>
      <c r="G421" s="3">
        <f t="shared" si="36"/>
        <v>10</v>
      </c>
      <c r="H421" s="3">
        <v>950</v>
      </c>
      <c r="I421" s="4">
        <v>650.36999999999989</v>
      </c>
      <c r="J421" s="4">
        <f t="shared" si="37"/>
        <v>551.16101694915244</v>
      </c>
      <c r="K421" s="5">
        <v>0</v>
      </c>
      <c r="L421" s="5">
        <f t="shared" si="38"/>
        <v>0</v>
      </c>
      <c r="M421" s="4">
        <f t="shared" si="39"/>
        <v>551.16101694915244</v>
      </c>
      <c r="N421" s="4">
        <f t="shared" si="42"/>
        <v>26.245762711864401</v>
      </c>
      <c r="O421" s="4">
        <f t="shared" si="41"/>
        <v>524.91525423728808</v>
      </c>
      <c r="P421" s="6">
        <f t="shared" si="40"/>
        <v>619.39999999999986</v>
      </c>
    </row>
    <row r="422" spans="1:16" x14ac:dyDescent="0.25">
      <c r="A422" s="2">
        <v>621450229</v>
      </c>
      <c r="B422" s="2" t="s">
        <v>444</v>
      </c>
      <c r="C422" s="3" t="s">
        <v>17</v>
      </c>
      <c r="D422" s="3" t="s">
        <v>269</v>
      </c>
      <c r="E422" s="3">
        <v>20</v>
      </c>
      <c r="F422" s="3">
        <v>1</v>
      </c>
      <c r="G422" s="3">
        <f t="shared" si="36"/>
        <v>20</v>
      </c>
      <c r="H422" s="3">
        <v>774</v>
      </c>
      <c r="I422" s="4">
        <v>521.13419999999996</v>
      </c>
      <c r="J422" s="4">
        <f t="shared" si="37"/>
        <v>441.63915254237287</v>
      </c>
      <c r="K422" s="5">
        <v>0</v>
      </c>
      <c r="L422" s="5">
        <f t="shared" si="38"/>
        <v>0</v>
      </c>
      <c r="M422" s="4">
        <f t="shared" si="39"/>
        <v>441.63915254237287</v>
      </c>
      <c r="N422" s="4">
        <f t="shared" si="42"/>
        <v>21.030435835351089</v>
      </c>
      <c r="O422" s="4">
        <f t="shared" si="41"/>
        <v>420.60871670702176</v>
      </c>
      <c r="P422" s="6">
        <f t="shared" si="40"/>
        <v>496.31828571428565</v>
      </c>
    </row>
    <row r="423" spans="1:16" x14ac:dyDescent="0.25">
      <c r="A423" s="2">
        <v>621450230</v>
      </c>
      <c r="B423" s="2" t="s">
        <v>445</v>
      </c>
      <c r="C423" s="3" t="s">
        <v>17</v>
      </c>
      <c r="D423" s="3" t="s">
        <v>269</v>
      </c>
      <c r="E423" s="3">
        <v>18</v>
      </c>
      <c r="F423" s="3">
        <v>0.9</v>
      </c>
      <c r="G423" s="3">
        <f t="shared" si="36"/>
        <v>20</v>
      </c>
      <c r="H423" s="3">
        <v>715</v>
      </c>
      <c r="I423" s="4">
        <v>481.05200000000008</v>
      </c>
      <c r="J423" s="4">
        <f t="shared" si="37"/>
        <v>407.67118644067807</v>
      </c>
      <c r="K423" s="5">
        <v>0</v>
      </c>
      <c r="L423" s="5">
        <f t="shared" si="38"/>
        <v>0</v>
      </c>
      <c r="M423" s="4">
        <f t="shared" si="39"/>
        <v>407.67118644067807</v>
      </c>
      <c r="N423" s="4">
        <f t="shared" si="42"/>
        <v>19.41291364003229</v>
      </c>
      <c r="O423" s="4">
        <f t="shared" si="41"/>
        <v>388.25827280064578</v>
      </c>
      <c r="P423" s="6">
        <f t="shared" si="40"/>
        <v>458.14476190476199</v>
      </c>
    </row>
    <row r="424" spans="1:16" x14ac:dyDescent="0.25">
      <c r="A424" s="2">
        <v>622240022</v>
      </c>
      <c r="B424" s="2" t="s">
        <v>446</v>
      </c>
      <c r="C424" s="3" t="s">
        <v>17</v>
      </c>
      <c r="D424" s="3" t="s">
        <v>269</v>
      </c>
      <c r="E424" s="3">
        <v>12</v>
      </c>
      <c r="F424" s="3">
        <v>1.2</v>
      </c>
      <c r="G424" s="3">
        <f t="shared" si="36"/>
        <v>10</v>
      </c>
      <c r="H424" s="3">
        <v>1105</v>
      </c>
      <c r="I424" s="4">
        <v>746.53800000000001</v>
      </c>
      <c r="J424" s="4">
        <f t="shared" si="37"/>
        <v>632.65932203389832</v>
      </c>
      <c r="K424" s="5">
        <v>0</v>
      </c>
      <c r="L424" s="5">
        <f t="shared" si="38"/>
        <v>0</v>
      </c>
      <c r="M424" s="4">
        <f t="shared" si="39"/>
        <v>632.65932203389832</v>
      </c>
      <c r="N424" s="4">
        <f t="shared" si="42"/>
        <v>30.126634382566586</v>
      </c>
      <c r="O424" s="4">
        <f t="shared" si="41"/>
        <v>602.53268765133168</v>
      </c>
      <c r="P424" s="6">
        <f t="shared" si="40"/>
        <v>710.98857142857139</v>
      </c>
    </row>
    <row r="425" spans="1:16" x14ac:dyDescent="0.25">
      <c r="A425" s="2">
        <v>622240229</v>
      </c>
      <c r="B425" s="2" t="s">
        <v>447</v>
      </c>
      <c r="C425" s="3" t="s">
        <v>17</v>
      </c>
      <c r="D425" s="3" t="s">
        <v>269</v>
      </c>
      <c r="E425" s="3">
        <v>20</v>
      </c>
      <c r="F425" s="3">
        <v>1</v>
      </c>
      <c r="G425" s="3">
        <f t="shared" si="36"/>
        <v>20</v>
      </c>
      <c r="H425" s="3">
        <v>920</v>
      </c>
      <c r="I425" s="4">
        <v>621.73599999999999</v>
      </c>
      <c r="J425" s="4">
        <f t="shared" si="37"/>
        <v>526.89491525423728</v>
      </c>
      <c r="K425" s="5">
        <v>0</v>
      </c>
      <c r="L425" s="5">
        <f t="shared" si="38"/>
        <v>0</v>
      </c>
      <c r="M425" s="4">
        <f t="shared" si="39"/>
        <v>526.89491525423728</v>
      </c>
      <c r="N425" s="4">
        <f t="shared" si="42"/>
        <v>25.090234059725585</v>
      </c>
      <c r="O425" s="4">
        <f t="shared" si="41"/>
        <v>501.80468119451172</v>
      </c>
      <c r="P425" s="6">
        <f t="shared" si="40"/>
        <v>592.12952380952379</v>
      </c>
    </row>
    <row r="426" spans="1:16" x14ac:dyDescent="0.25">
      <c r="A426" s="2">
        <v>622240294</v>
      </c>
      <c r="B426" s="2" t="s">
        <v>448</v>
      </c>
      <c r="C426" s="3" t="s">
        <v>17</v>
      </c>
      <c r="D426" s="3" t="s">
        <v>269</v>
      </c>
      <c r="E426" s="3">
        <v>10</v>
      </c>
      <c r="F426" s="3">
        <v>2.5</v>
      </c>
      <c r="G426" s="3">
        <f t="shared" si="36"/>
        <v>4</v>
      </c>
      <c r="H426" s="3">
        <v>2301</v>
      </c>
      <c r="I426" s="4">
        <v>1551.3342000000002</v>
      </c>
      <c r="J426" s="4">
        <f t="shared" si="37"/>
        <v>1314.6900000000003</v>
      </c>
      <c r="K426" s="5">
        <v>0</v>
      </c>
      <c r="L426" s="5">
        <f t="shared" si="38"/>
        <v>0</v>
      </c>
      <c r="M426" s="4">
        <f t="shared" si="39"/>
        <v>1314.6900000000003</v>
      </c>
      <c r="N426" s="4">
        <f t="shared" si="42"/>
        <v>62.60428571428573</v>
      </c>
      <c r="O426" s="4">
        <f t="shared" si="41"/>
        <v>1252.0857142857146</v>
      </c>
      <c r="P426" s="6">
        <f t="shared" si="40"/>
        <v>1477.4611428571432</v>
      </c>
    </row>
    <row r="427" spans="1:16" x14ac:dyDescent="0.25">
      <c r="A427" s="2">
        <v>622250022</v>
      </c>
      <c r="B427" s="2" t="s">
        <v>449</v>
      </c>
      <c r="C427" s="3" t="s">
        <v>17</v>
      </c>
      <c r="D427" s="3" t="s">
        <v>269</v>
      </c>
      <c r="E427" s="3">
        <v>12</v>
      </c>
      <c r="F427" s="3">
        <v>1.2</v>
      </c>
      <c r="G427" s="3">
        <f t="shared" si="36"/>
        <v>10</v>
      </c>
      <c r="H427" s="3">
        <v>1122</v>
      </c>
      <c r="I427" s="4">
        <v>763.07220000000007</v>
      </c>
      <c r="J427" s="4">
        <f t="shared" si="37"/>
        <v>646.67135593220348</v>
      </c>
      <c r="K427" s="5">
        <v>0</v>
      </c>
      <c r="L427" s="5">
        <f t="shared" si="38"/>
        <v>0</v>
      </c>
      <c r="M427" s="4">
        <f t="shared" si="39"/>
        <v>646.67135593220348</v>
      </c>
      <c r="N427" s="4">
        <f t="shared" si="42"/>
        <v>30.793874092009691</v>
      </c>
      <c r="O427" s="4">
        <f t="shared" si="41"/>
        <v>615.87748184019381</v>
      </c>
      <c r="P427" s="6">
        <f t="shared" si="40"/>
        <v>726.73542857142866</v>
      </c>
    </row>
    <row r="428" spans="1:16" x14ac:dyDescent="0.25">
      <c r="A428" s="2">
        <v>622250229</v>
      </c>
      <c r="B428" s="2" t="s">
        <v>450</v>
      </c>
      <c r="C428" s="3" t="s">
        <v>17</v>
      </c>
      <c r="D428" s="3" t="s">
        <v>269</v>
      </c>
      <c r="E428" s="3">
        <v>20</v>
      </c>
      <c r="F428" s="3">
        <v>1</v>
      </c>
      <c r="G428" s="3">
        <f t="shared" si="36"/>
        <v>20</v>
      </c>
      <c r="H428" s="3">
        <v>936</v>
      </c>
      <c r="I428" s="4">
        <v>636.48</v>
      </c>
      <c r="J428" s="4">
        <f t="shared" si="37"/>
        <v>539.38983050847457</v>
      </c>
      <c r="K428" s="5">
        <v>0</v>
      </c>
      <c r="L428" s="5">
        <f t="shared" si="38"/>
        <v>0</v>
      </c>
      <c r="M428" s="4">
        <f t="shared" si="39"/>
        <v>539.38983050847457</v>
      </c>
      <c r="N428" s="4">
        <f t="shared" si="42"/>
        <v>25.685230024213077</v>
      </c>
      <c r="O428" s="4">
        <f t="shared" si="41"/>
        <v>513.7046004842615</v>
      </c>
      <c r="P428" s="6">
        <f t="shared" si="40"/>
        <v>606.17142857142858</v>
      </c>
    </row>
    <row r="429" spans="1:16" x14ac:dyDescent="0.25">
      <c r="A429" s="2">
        <v>622250294</v>
      </c>
      <c r="B429" s="2" t="s">
        <v>451</v>
      </c>
      <c r="C429" s="3" t="s">
        <v>17</v>
      </c>
      <c r="D429" s="3" t="s">
        <v>269</v>
      </c>
      <c r="E429" s="3">
        <v>10</v>
      </c>
      <c r="F429" s="3">
        <v>2.5</v>
      </c>
      <c r="G429" s="3">
        <f t="shared" si="36"/>
        <v>4</v>
      </c>
      <c r="H429" s="3">
        <v>2342</v>
      </c>
      <c r="I429" s="4">
        <v>1591.1547999999998</v>
      </c>
      <c r="J429" s="4">
        <f t="shared" si="37"/>
        <v>1348.4362711864405</v>
      </c>
      <c r="K429" s="5">
        <v>0</v>
      </c>
      <c r="L429" s="5">
        <f t="shared" si="38"/>
        <v>0</v>
      </c>
      <c r="M429" s="4">
        <f t="shared" si="39"/>
        <v>1348.4362711864405</v>
      </c>
      <c r="N429" s="4">
        <f t="shared" si="42"/>
        <v>64.211251008878122</v>
      </c>
      <c r="O429" s="4">
        <f t="shared" si="41"/>
        <v>1284.2250201775623</v>
      </c>
      <c r="P429" s="6">
        <f t="shared" si="40"/>
        <v>1515.3855238095234</v>
      </c>
    </row>
    <row r="430" spans="1:16" x14ac:dyDescent="0.25">
      <c r="A430" s="2">
        <v>622350022</v>
      </c>
      <c r="B430" s="2" t="s">
        <v>452</v>
      </c>
      <c r="C430" s="3" t="s">
        <v>17</v>
      </c>
      <c r="D430" s="3" t="s">
        <v>269</v>
      </c>
      <c r="E430" s="3">
        <v>12</v>
      </c>
      <c r="F430" s="3">
        <v>1.2</v>
      </c>
      <c r="G430" s="3">
        <f t="shared" si="36"/>
        <v>10</v>
      </c>
      <c r="H430" s="3">
        <v>1086</v>
      </c>
      <c r="I430" s="4">
        <v>774.96960000000013</v>
      </c>
      <c r="J430" s="4">
        <f t="shared" si="37"/>
        <v>656.75389830508493</v>
      </c>
      <c r="K430" s="5">
        <v>0</v>
      </c>
      <c r="L430" s="5">
        <f t="shared" si="38"/>
        <v>0</v>
      </c>
      <c r="M430" s="4">
        <f t="shared" si="39"/>
        <v>656.75389830508493</v>
      </c>
      <c r="N430" s="4">
        <f t="shared" si="42"/>
        <v>31.273995157384995</v>
      </c>
      <c r="O430" s="4">
        <f t="shared" si="41"/>
        <v>625.47990314769993</v>
      </c>
      <c r="P430" s="6">
        <f t="shared" si="40"/>
        <v>738.06628571428587</v>
      </c>
    </row>
    <row r="431" spans="1:16" x14ac:dyDescent="0.25">
      <c r="A431" s="2">
        <v>622350229</v>
      </c>
      <c r="B431" s="2" t="s">
        <v>453</v>
      </c>
      <c r="C431" s="3" t="s">
        <v>17</v>
      </c>
      <c r="D431" s="3" t="s">
        <v>269</v>
      </c>
      <c r="E431" s="3">
        <v>20</v>
      </c>
      <c r="F431" s="3">
        <v>1</v>
      </c>
      <c r="G431" s="3">
        <f t="shared" si="36"/>
        <v>20</v>
      </c>
      <c r="H431" s="3">
        <v>905</v>
      </c>
      <c r="I431" s="4">
        <v>620.01550000000009</v>
      </c>
      <c r="J431" s="4">
        <f t="shared" si="37"/>
        <v>525.43686440677982</v>
      </c>
      <c r="K431" s="5">
        <v>0</v>
      </c>
      <c r="L431" s="5">
        <f t="shared" si="38"/>
        <v>0</v>
      </c>
      <c r="M431" s="4">
        <f t="shared" si="39"/>
        <v>525.43686440677982</v>
      </c>
      <c r="N431" s="4">
        <f t="shared" si="42"/>
        <v>25.020803066989515</v>
      </c>
      <c r="O431" s="4">
        <f t="shared" si="41"/>
        <v>500.4160613397903</v>
      </c>
      <c r="P431" s="6">
        <f t="shared" si="40"/>
        <v>590.49095238095254</v>
      </c>
    </row>
    <row r="432" spans="1:16" x14ac:dyDescent="0.25">
      <c r="A432" s="2">
        <v>622350294</v>
      </c>
      <c r="B432" s="2" t="s">
        <v>454</v>
      </c>
      <c r="C432" s="3" t="s">
        <v>17</v>
      </c>
      <c r="D432" s="3" t="s">
        <v>269</v>
      </c>
      <c r="E432" s="3">
        <v>10</v>
      </c>
      <c r="F432" s="3">
        <v>2.5</v>
      </c>
      <c r="G432" s="3">
        <f t="shared" si="36"/>
        <v>4</v>
      </c>
      <c r="H432" s="3">
        <v>2263</v>
      </c>
      <c r="I432" s="4">
        <v>1549.9286999999999</v>
      </c>
      <c r="J432" s="4">
        <f t="shared" si="37"/>
        <v>1313.4988983050848</v>
      </c>
      <c r="K432" s="5">
        <v>0</v>
      </c>
      <c r="L432" s="5">
        <f t="shared" si="38"/>
        <v>0</v>
      </c>
      <c r="M432" s="4">
        <f t="shared" si="39"/>
        <v>1313.4988983050848</v>
      </c>
      <c r="N432" s="4">
        <f t="shared" si="42"/>
        <v>62.547566585956417</v>
      </c>
      <c r="O432" s="4">
        <f t="shared" si="41"/>
        <v>1250.9513317191283</v>
      </c>
      <c r="P432" s="6">
        <f t="shared" si="40"/>
        <v>1476.1225714285713</v>
      </c>
    </row>
    <row r="433" spans="1:16" x14ac:dyDescent="0.25">
      <c r="A433" s="2">
        <v>622450022</v>
      </c>
      <c r="B433" s="2" t="s">
        <v>455</v>
      </c>
      <c r="C433" s="3" t="s">
        <v>17</v>
      </c>
      <c r="D433" s="3" t="s">
        <v>269</v>
      </c>
      <c r="E433" s="3">
        <v>12</v>
      </c>
      <c r="F433" s="3">
        <v>1.2</v>
      </c>
      <c r="G433" s="3">
        <f t="shared" si="36"/>
        <v>10</v>
      </c>
      <c r="H433" s="3">
        <v>1072</v>
      </c>
      <c r="I433" s="4">
        <v>749.97119999999995</v>
      </c>
      <c r="J433" s="4">
        <f t="shared" si="37"/>
        <v>635.56881355932205</v>
      </c>
      <c r="K433" s="5">
        <v>0</v>
      </c>
      <c r="L433" s="5">
        <f t="shared" si="38"/>
        <v>0</v>
      </c>
      <c r="M433" s="4">
        <f t="shared" si="39"/>
        <v>635.56881355932205</v>
      </c>
      <c r="N433" s="4">
        <f t="shared" si="42"/>
        <v>30.265181598062956</v>
      </c>
      <c r="O433" s="4">
        <f t="shared" si="41"/>
        <v>605.30363196125904</v>
      </c>
      <c r="P433" s="6">
        <f t="shared" si="40"/>
        <v>714.25828571428565</v>
      </c>
    </row>
    <row r="434" spans="1:16" x14ac:dyDescent="0.25">
      <c r="A434" s="2">
        <v>622450229</v>
      </c>
      <c r="B434" s="2" t="s">
        <v>456</v>
      </c>
      <c r="C434" s="3" t="s">
        <v>17</v>
      </c>
      <c r="D434" s="3" t="s">
        <v>269</v>
      </c>
      <c r="E434" s="3">
        <v>20</v>
      </c>
      <c r="F434" s="3">
        <v>1</v>
      </c>
      <c r="G434" s="3">
        <f t="shared" si="36"/>
        <v>20</v>
      </c>
      <c r="H434" s="3">
        <v>895</v>
      </c>
      <c r="I434" s="4">
        <v>624.97850000000005</v>
      </c>
      <c r="J434" s="4">
        <f t="shared" si="37"/>
        <v>529.64279661016951</v>
      </c>
      <c r="K434" s="5">
        <v>0</v>
      </c>
      <c r="L434" s="5">
        <f t="shared" si="38"/>
        <v>0</v>
      </c>
      <c r="M434" s="4">
        <f t="shared" si="39"/>
        <v>529.64279661016951</v>
      </c>
      <c r="N434" s="4">
        <f t="shared" si="42"/>
        <v>25.221085552865215</v>
      </c>
      <c r="O434" s="4">
        <f t="shared" si="41"/>
        <v>504.42171105730432</v>
      </c>
      <c r="P434" s="6">
        <f t="shared" si="40"/>
        <v>595.21761904761911</v>
      </c>
    </row>
    <row r="435" spans="1:16" x14ac:dyDescent="0.25">
      <c r="A435" s="2">
        <v>622450294</v>
      </c>
      <c r="B435" s="2" t="s">
        <v>457</v>
      </c>
      <c r="C435" s="3" t="s">
        <v>17</v>
      </c>
      <c r="D435" s="3" t="s">
        <v>269</v>
      </c>
      <c r="E435" s="3">
        <v>10</v>
      </c>
      <c r="F435" s="3">
        <v>2.5</v>
      </c>
      <c r="G435" s="3">
        <f t="shared" si="36"/>
        <v>4</v>
      </c>
      <c r="H435" s="3">
        <v>2223</v>
      </c>
      <c r="I435" s="4">
        <v>1562.5467000000001</v>
      </c>
      <c r="J435" s="4">
        <f t="shared" si="37"/>
        <v>1324.1921186440679</v>
      </c>
      <c r="K435" s="5">
        <v>0</v>
      </c>
      <c r="L435" s="5">
        <f t="shared" si="38"/>
        <v>0</v>
      </c>
      <c r="M435" s="4">
        <f t="shared" si="39"/>
        <v>1324.1921186440679</v>
      </c>
      <c r="N435" s="4">
        <f t="shared" si="42"/>
        <v>63.056767554479428</v>
      </c>
      <c r="O435" s="4">
        <f t="shared" si="41"/>
        <v>1261.1353510895885</v>
      </c>
      <c r="P435" s="6">
        <f t="shared" si="40"/>
        <v>1488.1397142857145</v>
      </c>
    </row>
    <row r="436" spans="1:16" x14ac:dyDescent="0.25">
      <c r="A436" s="2">
        <v>632230133</v>
      </c>
      <c r="B436" s="2" t="s">
        <v>458</v>
      </c>
      <c r="C436" s="3" t="s">
        <v>17</v>
      </c>
      <c r="D436" s="3" t="s">
        <v>269</v>
      </c>
      <c r="E436" s="3">
        <v>16</v>
      </c>
      <c r="F436" s="3">
        <v>0.8</v>
      </c>
      <c r="G436" s="3">
        <f t="shared" si="36"/>
        <v>20</v>
      </c>
      <c r="H436" s="3">
        <v>651</v>
      </c>
      <c r="I436" s="4">
        <v>449.97120000000001</v>
      </c>
      <c r="J436" s="4">
        <f t="shared" si="37"/>
        <v>381.33152542372886</v>
      </c>
      <c r="K436" s="5">
        <v>0</v>
      </c>
      <c r="L436" s="5">
        <f t="shared" si="38"/>
        <v>0</v>
      </c>
      <c r="M436" s="4">
        <f t="shared" si="39"/>
        <v>381.33152542372886</v>
      </c>
      <c r="N436" s="3"/>
      <c r="O436" s="4">
        <f t="shared" si="41"/>
        <v>381.33152542372886</v>
      </c>
      <c r="P436" s="6">
        <f t="shared" si="40"/>
        <v>449.97120000000001</v>
      </c>
    </row>
    <row r="437" spans="1:16" x14ac:dyDescent="0.25">
      <c r="A437" s="2">
        <v>651130111</v>
      </c>
      <c r="B437" s="2" t="s">
        <v>459</v>
      </c>
      <c r="C437" s="3" t="s">
        <v>17</v>
      </c>
      <c r="D437" s="3" t="s">
        <v>205</v>
      </c>
      <c r="E437" s="3">
        <v>14</v>
      </c>
      <c r="F437" s="3">
        <v>3.5</v>
      </c>
      <c r="G437" s="3">
        <f t="shared" si="36"/>
        <v>4</v>
      </c>
      <c r="H437" s="3">
        <v>3063</v>
      </c>
      <c r="I437" s="4">
        <v>1874.8623000000002</v>
      </c>
      <c r="J437" s="4">
        <f t="shared" si="37"/>
        <v>1588.8663559322038</v>
      </c>
      <c r="K437" s="5">
        <v>0</v>
      </c>
      <c r="L437" s="5">
        <f t="shared" si="38"/>
        <v>0</v>
      </c>
      <c r="M437" s="4">
        <f t="shared" si="39"/>
        <v>1588.8663559322038</v>
      </c>
      <c r="N437" s="3"/>
      <c r="O437" s="4">
        <f t="shared" si="41"/>
        <v>1588.8663559322038</v>
      </c>
      <c r="P437" s="6">
        <f t="shared" si="40"/>
        <v>1874.8623000000002</v>
      </c>
    </row>
    <row r="438" spans="1:16" x14ac:dyDescent="0.25">
      <c r="A438" s="2">
        <v>651130204</v>
      </c>
      <c r="B438" s="2" t="s">
        <v>460</v>
      </c>
      <c r="C438" s="3" t="s">
        <v>17</v>
      </c>
      <c r="D438" s="3" t="s">
        <v>205</v>
      </c>
      <c r="E438" s="3">
        <v>12</v>
      </c>
      <c r="F438" s="3">
        <v>3</v>
      </c>
      <c r="G438" s="3">
        <f t="shared" si="36"/>
        <v>4</v>
      </c>
      <c r="H438" s="3">
        <v>2625</v>
      </c>
      <c r="I438" s="4">
        <v>1607.2875000000001</v>
      </c>
      <c r="J438" s="4">
        <f t="shared" si="37"/>
        <v>1362.1080508474579</v>
      </c>
      <c r="K438" s="5">
        <v>0</v>
      </c>
      <c r="L438" s="5">
        <f t="shared" si="38"/>
        <v>0</v>
      </c>
      <c r="M438" s="4">
        <f t="shared" si="39"/>
        <v>1362.1080508474579</v>
      </c>
      <c r="N438" s="3"/>
      <c r="O438" s="4">
        <f t="shared" si="41"/>
        <v>1362.1080508474579</v>
      </c>
      <c r="P438" s="6">
        <f t="shared" si="40"/>
        <v>1607.2875000000001</v>
      </c>
    </row>
    <row r="439" spans="1:16" x14ac:dyDescent="0.25">
      <c r="A439" s="2">
        <v>651130220</v>
      </c>
      <c r="B439" s="2" t="s">
        <v>461</v>
      </c>
      <c r="C439" s="3" t="s">
        <v>17</v>
      </c>
      <c r="D439" s="3" t="s">
        <v>205</v>
      </c>
      <c r="E439" s="3">
        <v>16</v>
      </c>
      <c r="F439" s="3">
        <v>4</v>
      </c>
      <c r="G439" s="3">
        <f t="shared" si="36"/>
        <v>4</v>
      </c>
      <c r="H439" s="3">
        <v>3500</v>
      </c>
      <c r="I439" s="4">
        <v>2142.6999999999998</v>
      </c>
      <c r="J439" s="4">
        <f t="shared" si="37"/>
        <v>1815.8474576271185</v>
      </c>
      <c r="K439" s="5">
        <v>0</v>
      </c>
      <c r="L439" s="5">
        <f t="shared" si="38"/>
        <v>0</v>
      </c>
      <c r="M439" s="4">
        <f t="shared" si="39"/>
        <v>1815.8474576271185</v>
      </c>
      <c r="N439" s="3"/>
      <c r="O439" s="4">
        <f t="shared" si="41"/>
        <v>1815.8474576271185</v>
      </c>
      <c r="P439" s="6">
        <f t="shared" si="40"/>
        <v>2142.6999999999998</v>
      </c>
    </row>
    <row r="440" spans="1:16" x14ac:dyDescent="0.25">
      <c r="A440" s="2">
        <v>651130229</v>
      </c>
      <c r="B440" s="2" t="s">
        <v>462</v>
      </c>
      <c r="C440" s="3" t="s">
        <v>17</v>
      </c>
      <c r="D440" s="3" t="s">
        <v>205</v>
      </c>
      <c r="E440" s="3">
        <v>20</v>
      </c>
      <c r="F440" s="3">
        <v>1</v>
      </c>
      <c r="G440" s="3">
        <f t="shared" si="36"/>
        <v>20</v>
      </c>
      <c r="H440" s="3">
        <v>875</v>
      </c>
      <c r="I440" s="4">
        <v>535.76250000000005</v>
      </c>
      <c r="J440" s="4">
        <f t="shared" si="37"/>
        <v>454.03601694915261</v>
      </c>
      <c r="K440" s="5">
        <v>0</v>
      </c>
      <c r="L440" s="5">
        <f t="shared" si="38"/>
        <v>0</v>
      </c>
      <c r="M440" s="4">
        <f t="shared" si="39"/>
        <v>454.03601694915261</v>
      </c>
      <c r="N440" s="3"/>
      <c r="O440" s="4">
        <f t="shared" si="41"/>
        <v>454.03601694915261</v>
      </c>
      <c r="P440" s="6">
        <f t="shared" si="40"/>
        <v>535.76250000000005</v>
      </c>
    </row>
    <row r="441" spans="1:16" x14ac:dyDescent="0.25">
      <c r="A441" s="2">
        <v>652010111</v>
      </c>
      <c r="B441" s="2" t="s">
        <v>463</v>
      </c>
      <c r="C441" s="3" t="s">
        <v>17</v>
      </c>
      <c r="D441" s="3" t="s">
        <v>205</v>
      </c>
      <c r="E441" s="3">
        <v>14</v>
      </c>
      <c r="F441" s="3">
        <v>3.5</v>
      </c>
      <c r="G441" s="3">
        <f t="shared" si="36"/>
        <v>4</v>
      </c>
      <c r="H441" s="3">
        <v>3108</v>
      </c>
      <c r="I441" s="4">
        <v>1913.5956000000001</v>
      </c>
      <c r="J441" s="4">
        <f t="shared" si="37"/>
        <v>1621.6911864406782</v>
      </c>
      <c r="K441" s="5">
        <v>0</v>
      </c>
      <c r="L441" s="5">
        <f t="shared" si="38"/>
        <v>0</v>
      </c>
      <c r="M441" s="4">
        <f t="shared" si="39"/>
        <v>1621.6911864406782</v>
      </c>
      <c r="N441" s="3"/>
      <c r="O441" s="4">
        <f t="shared" si="41"/>
        <v>1621.6911864406782</v>
      </c>
      <c r="P441" s="6">
        <f t="shared" si="40"/>
        <v>1913.5956000000001</v>
      </c>
    </row>
    <row r="442" spans="1:16" x14ac:dyDescent="0.25">
      <c r="A442" s="2">
        <v>652010204</v>
      </c>
      <c r="B442" s="2" t="s">
        <v>464</v>
      </c>
      <c r="C442" s="3" t="s">
        <v>17</v>
      </c>
      <c r="D442" s="3" t="s">
        <v>205</v>
      </c>
      <c r="E442" s="3">
        <v>12</v>
      </c>
      <c r="F442" s="3">
        <v>3</v>
      </c>
      <c r="G442" s="3">
        <f t="shared" si="36"/>
        <v>4</v>
      </c>
      <c r="H442" s="3">
        <v>2664</v>
      </c>
      <c r="I442" s="4">
        <v>1640.2248000000002</v>
      </c>
      <c r="J442" s="4">
        <f t="shared" si="37"/>
        <v>1390.0210169491527</v>
      </c>
      <c r="K442" s="5">
        <v>0</v>
      </c>
      <c r="L442" s="5">
        <f t="shared" si="38"/>
        <v>0</v>
      </c>
      <c r="M442" s="4">
        <f t="shared" si="39"/>
        <v>1390.0210169491527</v>
      </c>
      <c r="N442" s="3"/>
      <c r="O442" s="4">
        <f t="shared" si="41"/>
        <v>1390.0210169491527</v>
      </c>
      <c r="P442" s="6">
        <f t="shared" si="40"/>
        <v>1640.2248000000002</v>
      </c>
    </row>
    <row r="443" spans="1:16" x14ac:dyDescent="0.25">
      <c r="A443" s="2">
        <v>652010220</v>
      </c>
      <c r="B443" s="2" t="s">
        <v>465</v>
      </c>
      <c r="C443" s="3" t="s">
        <v>17</v>
      </c>
      <c r="D443" s="3" t="s">
        <v>205</v>
      </c>
      <c r="E443" s="3">
        <v>16</v>
      </c>
      <c r="F443" s="3">
        <v>4</v>
      </c>
      <c r="G443" s="3">
        <f t="shared" si="36"/>
        <v>4</v>
      </c>
      <c r="H443" s="3">
        <v>3552</v>
      </c>
      <c r="I443" s="4">
        <v>2186.9664000000002</v>
      </c>
      <c r="J443" s="4">
        <f t="shared" si="37"/>
        <v>1853.3613559322037</v>
      </c>
      <c r="K443" s="5">
        <v>0</v>
      </c>
      <c r="L443" s="5">
        <f t="shared" si="38"/>
        <v>0</v>
      </c>
      <c r="M443" s="4">
        <f t="shared" si="39"/>
        <v>1853.3613559322037</v>
      </c>
      <c r="N443" s="3"/>
      <c r="O443" s="4">
        <f t="shared" si="41"/>
        <v>1853.3613559322037</v>
      </c>
      <c r="P443" s="6">
        <f t="shared" si="40"/>
        <v>2186.9664000000002</v>
      </c>
    </row>
    <row r="444" spans="1:16" x14ac:dyDescent="0.25">
      <c r="A444" s="2">
        <v>652010229</v>
      </c>
      <c r="B444" s="2" t="s">
        <v>466</v>
      </c>
      <c r="C444" s="3" t="s">
        <v>17</v>
      </c>
      <c r="D444" s="3" t="s">
        <v>205</v>
      </c>
      <c r="E444" s="3">
        <v>20</v>
      </c>
      <c r="F444" s="3">
        <v>1</v>
      </c>
      <c r="G444" s="3">
        <f t="shared" si="36"/>
        <v>20</v>
      </c>
      <c r="H444" s="3">
        <v>888</v>
      </c>
      <c r="I444" s="4">
        <v>546.74160000000006</v>
      </c>
      <c r="J444" s="4">
        <f t="shared" si="37"/>
        <v>463.34033898305091</v>
      </c>
      <c r="K444" s="5">
        <v>0</v>
      </c>
      <c r="L444" s="5">
        <f t="shared" si="38"/>
        <v>0</v>
      </c>
      <c r="M444" s="4">
        <f t="shared" si="39"/>
        <v>463.34033898305091</v>
      </c>
      <c r="N444" s="3"/>
      <c r="O444" s="4">
        <f t="shared" si="41"/>
        <v>463.34033898305091</v>
      </c>
      <c r="P444" s="6">
        <f t="shared" si="40"/>
        <v>546.74160000000006</v>
      </c>
    </row>
    <row r="445" spans="1:16" x14ac:dyDescent="0.25">
      <c r="A445" s="2">
        <v>652020111</v>
      </c>
      <c r="B445" s="2" t="s">
        <v>467</v>
      </c>
      <c r="C445" s="3" t="s">
        <v>17</v>
      </c>
      <c r="D445" s="3" t="s">
        <v>205</v>
      </c>
      <c r="E445" s="3">
        <v>14</v>
      </c>
      <c r="F445" s="3">
        <v>3.5</v>
      </c>
      <c r="G445" s="3">
        <f t="shared" si="36"/>
        <v>4</v>
      </c>
      <c r="H445" s="3">
        <v>3350</v>
      </c>
      <c r="I445" s="4">
        <v>1960.085</v>
      </c>
      <c r="J445" s="4">
        <f t="shared" si="37"/>
        <v>1661.0889830508477</v>
      </c>
      <c r="K445" s="5">
        <v>0</v>
      </c>
      <c r="L445" s="5">
        <f t="shared" si="38"/>
        <v>0</v>
      </c>
      <c r="M445" s="4">
        <f t="shared" si="39"/>
        <v>1661.0889830508477</v>
      </c>
      <c r="N445" s="3"/>
      <c r="O445" s="4">
        <f t="shared" si="41"/>
        <v>1661.0889830508477</v>
      </c>
      <c r="P445" s="6">
        <f t="shared" si="40"/>
        <v>1960.0850000000003</v>
      </c>
    </row>
    <row r="446" spans="1:16" x14ac:dyDescent="0.25">
      <c r="A446" s="2">
        <v>652020204</v>
      </c>
      <c r="B446" s="2" t="s">
        <v>468</v>
      </c>
      <c r="C446" s="3" t="s">
        <v>17</v>
      </c>
      <c r="D446" s="3" t="s">
        <v>205</v>
      </c>
      <c r="E446" s="3">
        <v>12</v>
      </c>
      <c r="F446" s="3">
        <v>3</v>
      </c>
      <c r="G446" s="3">
        <f t="shared" si="36"/>
        <v>4</v>
      </c>
      <c r="H446" s="3">
        <v>2871</v>
      </c>
      <c r="I446" s="4">
        <v>1680.1092000000001</v>
      </c>
      <c r="J446" s="4">
        <f t="shared" si="37"/>
        <v>1423.8213559322035</v>
      </c>
      <c r="K446" s="5">
        <v>0</v>
      </c>
      <c r="L446" s="5">
        <f t="shared" si="38"/>
        <v>0</v>
      </c>
      <c r="M446" s="4">
        <f t="shared" si="39"/>
        <v>1423.8213559322035</v>
      </c>
      <c r="N446" s="3"/>
      <c r="O446" s="4">
        <f t="shared" si="41"/>
        <v>1423.8213559322035</v>
      </c>
      <c r="P446" s="6">
        <f t="shared" si="40"/>
        <v>1680.1092000000001</v>
      </c>
    </row>
    <row r="447" spans="1:16" x14ac:dyDescent="0.25">
      <c r="A447" s="2">
        <v>652020220</v>
      </c>
      <c r="B447" s="2" t="s">
        <v>469</v>
      </c>
      <c r="C447" s="3" t="s">
        <v>17</v>
      </c>
      <c r="D447" s="3" t="s">
        <v>205</v>
      </c>
      <c r="E447" s="3">
        <v>16</v>
      </c>
      <c r="F447" s="3">
        <v>4</v>
      </c>
      <c r="G447" s="3">
        <f t="shared" si="36"/>
        <v>4</v>
      </c>
      <c r="H447" s="3">
        <v>3828</v>
      </c>
      <c r="I447" s="4">
        <v>2240.1455999999998</v>
      </c>
      <c r="J447" s="4">
        <f t="shared" si="37"/>
        <v>1898.4284745762711</v>
      </c>
      <c r="K447" s="5">
        <v>0</v>
      </c>
      <c r="L447" s="5">
        <f t="shared" si="38"/>
        <v>0</v>
      </c>
      <c r="M447" s="4">
        <f t="shared" si="39"/>
        <v>1898.4284745762711</v>
      </c>
      <c r="N447" s="3"/>
      <c r="O447" s="4">
        <f t="shared" si="41"/>
        <v>1898.4284745762711</v>
      </c>
      <c r="P447" s="6">
        <f t="shared" si="40"/>
        <v>2240.1455999999998</v>
      </c>
    </row>
    <row r="448" spans="1:16" x14ac:dyDescent="0.25">
      <c r="A448" s="2">
        <v>652020229</v>
      </c>
      <c r="B448" s="2" t="s">
        <v>470</v>
      </c>
      <c r="C448" s="3" t="s">
        <v>17</v>
      </c>
      <c r="D448" s="3" t="s">
        <v>205</v>
      </c>
      <c r="E448" s="3">
        <v>20</v>
      </c>
      <c r="F448" s="3">
        <v>1</v>
      </c>
      <c r="G448" s="3">
        <f t="shared" si="36"/>
        <v>20</v>
      </c>
      <c r="H448" s="3">
        <v>957</v>
      </c>
      <c r="I448" s="4">
        <v>560.03639999999996</v>
      </c>
      <c r="J448" s="4">
        <f t="shared" si="37"/>
        <v>474.60711864406778</v>
      </c>
      <c r="K448" s="5">
        <v>0</v>
      </c>
      <c r="L448" s="5">
        <f t="shared" si="38"/>
        <v>0</v>
      </c>
      <c r="M448" s="4">
        <f t="shared" si="39"/>
        <v>474.60711864406778</v>
      </c>
      <c r="N448" s="3"/>
      <c r="O448" s="4">
        <f t="shared" si="41"/>
        <v>474.60711864406778</v>
      </c>
      <c r="P448" s="6">
        <f t="shared" si="40"/>
        <v>560.03639999999996</v>
      </c>
    </row>
    <row r="449" spans="1:16" x14ac:dyDescent="0.25">
      <c r="A449" s="2">
        <v>652150111</v>
      </c>
      <c r="B449" s="2" t="s">
        <v>471</v>
      </c>
      <c r="C449" s="3" t="s">
        <v>17</v>
      </c>
      <c r="D449" s="3" t="s">
        <v>205</v>
      </c>
      <c r="E449" s="3">
        <v>14</v>
      </c>
      <c r="F449" s="3">
        <v>3.5</v>
      </c>
      <c r="G449" s="3">
        <f t="shared" si="36"/>
        <v>4</v>
      </c>
      <c r="H449" s="3">
        <v>3570</v>
      </c>
      <c r="I449" s="4">
        <v>2137.002</v>
      </c>
      <c r="J449" s="4">
        <f t="shared" si="37"/>
        <v>1811.0186440677967</v>
      </c>
      <c r="K449" s="5">
        <v>0</v>
      </c>
      <c r="L449" s="5">
        <f t="shared" si="38"/>
        <v>0</v>
      </c>
      <c r="M449" s="4">
        <f t="shared" si="39"/>
        <v>1811.0186440677967</v>
      </c>
      <c r="N449" s="3"/>
      <c r="O449" s="4">
        <f t="shared" si="41"/>
        <v>1811.0186440677967</v>
      </c>
      <c r="P449" s="6">
        <f t="shared" si="40"/>
        <v>2137.002</v>
      </c>
    </row>
    <row r="450" spans="1:16" x14ac:dyDescent="0.25">
      <c r="A450" s="2">
        <v>652150204</v>
      </c>
      <c r="B450" s="2" t="s">
        <v>472</v>
      </c>
      <c r="C450" s="3" t="s">
        <v>17</v>
      </c>
      <c r="D450" s="3" t="s">
        <v>205</v>
      </c>
      <c r="E450" s="3">
        <v>12</v>
      </c>
      <c r="F450" s="3">
        <v>3</v>
      </c>
      <c r="G450" s="3">
        <f t="shared" ref="G450:G505" si="43">E450/F450</f>
        <v>4</v>
      </c>
      <c r="H450" s="3">
        <v>3060</v>
      </c>
      <c r="I450" s="4">
        <v>1831.7160000000001</v>
      </c>
      <c r="J450" s="4">
        <f t="shared" ref="J450:J505" si="44">I450/1.18</f>
        <v>1552.3016949152545</v>
      </c>
      <c r="K450" s="5">
        <v>0</v>
      </c>
      <c r="L450" s="5">
        <f t="shared" ref="L450:L505" si="45">(K450)*F450</f>
        <v>0</v>
      </c>
      <c r="M450" s="4">
        <f t="shared" ref="M450:M505" si="46">J450-L450</f>
        <v>1552.3016949152545</v>
      </c>
      <c r="N450" s="3"/>
      <c r="O450" s="4">
        <f t="shared" si="41"/>
        <v>1552.3016949152545</v>
      </c>
      <c r="P450" s="6">
        <f t="shared" ref="P450:P505" si="47">O450*1.18</f>
        <v>1831.7160000000003</v>
      </c>
    </row>
    <row r="451" spans="1:16" x14ac:dyDescent="0.25">
      <c r="A451" s="2">
        <v>652150220</v>
      </c>
      <c r="B451" s="2" t="s">
        <v>473</v>
      </c>
      <c r="C451" s="3" t="s">
        <v>17</v>
      </c>
      <c r="D451" s="3" t="s">
        <v>205</v>
      </c>
      <c r="E451" s="3">
        <v>16</v>
      </c>
      <c r="F451" s="3">
        <v>4</v>
      </c>
      <c r="G451" s="3">
        <f t="shared" si="43"/>
        <v>4</v>
      </c>
      <c r="H451" s="3">
        <v>4080</v>
      </c>
      <c r="I451" s="4">
        <v>2442.288</v>
      </c>
      <c r="J451" s="4">
        <f t="shared" si="44"/>
        <v>2069.7355932203391</v>
      </c>
      <c r="K451" s="5">
        <v>0</v>
      </c>
      <c r="L451" s="5">
        <f t="shared" si="45"/>
        <v>0</v>
      </c>
      <c r="M451" s="4">
        <f t="shared" si="46"/>
        <v>2069.7355932203391</v>
      </c>
      <c r="N451" s="3"/>
      <c r="O451" s="4">
        <f t="shared" ref="O451:O505" si="48">M451-N451</f>
        <v>2069.7355932203391</v>
      </c>
      <c r="P451" s="6">
        <f t="shared" si="47"/>
        <v>2442.288</v>
      </c>
    </row>
    <row r="452" spans="1:16" x14ac:dyDescent="0.25">
      <c r="A452" s="2">
        <v>652150229</v>
      </c>
      <c r="B452" s="2" t="s">
        <v>474</v>
      </c>
      <c r="C452" s="3" t="s">
        <v>17</v>
      </c>
      <c r="D452" s="3" t="s">
        <v>205</v>
      </c>
      <c r="E452" s="3">
        <v>20</v>
      </c>
      <c r="F452" s="3">
        <v>1</v>
      </c>
      <c r="G452" s="3">
        <f t="shared" si="43"/>
        <v>20</v>
      </c>
      <c r="H452" s="3">
        <v>1020</v>
      </c>
      <c r="I452" s="4">
        <v>610.572</v>
      </c>
      <c r="J452" s="4">
        <f t="shared" si="44"/>
        <v>517.43389830508477</v>
      </c>
      <c r="K452" s="5">
        <v>0</v>
      </c>
      <c r="L452" s="5">
        <f t="shared" si="45"/>
        <v>0</v>
      </c>
      <c r="M452" s="4">
        <f t="shared" si="46"/>
        <v>517.43389830508477</v>
      </c>
      <c r="N452" s="3"/>
      <c r="O452" s="4">
        <f t="shared" si="48"/>
        <v>517.43389830508477</v>
      </c>
      <c r="P452" s="6">
        <f t="shared" si="47"/>
        <v>610.572</v>
      </c>
    </row>
    <row r="453" spans="1:16" x14ac:dyDescent="0.25">
      <c r="A453" s="2">
        <v>662010111</v>
      </c>
      <c r="B453" s="2" t="s">
        <v>475</v>
      </c>
      <c r="C453" s="3" t="s">
        <v>17</v>
      </c>
      <c r="D453" s="3" t="s">
        <v>205</v>
      </c>
      <c r="E453" s="3">
        <v>14</v>
      </c>
      <c r="F453" s="3">
        <v>3.5</v>
      </c>
      <c r="G453" s="3">
        <f t="shared" si="43"/>
        <v>4</v>
      </c>
      <c r="H453" s="3">
        <v>3717</v>
      </c>
      <c r="I453" s="4">
        <v>2509.3467000000001</v>
      </c>
      <c r="J453" s="4">
        <f t="shared" si="44"/>
        <v>2126.5650000000001</v>
      </c>
      <c r="K453" s="5">
        <v>0</v>
      </c>
      <c r="L453" s="5">
        <f t="shared" si="45"/>
        <v>0</v>
      </c>
      <c r="M453" s="4">
        <f t="shared" si="46"/>
        <v>2126.5650000000001</v>
      </c>
      <c r="N453" s="3"/>
      <c r="O453" s="4">
        <f t="shared" si="48"/>
        <v>2126.5650000000001</v>
      </c>
      <c r="P453" s="6">
        <f t="shared" si="47"/>
        <v>2509.3467000000001</v>
      </c>
    </row>
    <row r="454" spans="1:16" x14ac:dyDescent="0.25">
      <c r="A454" s="2">
        <v>662010204</v>
      </c>
      <c r="B454" s="2" t="s">
        <v>476</v>
      </c>
      <c r="C454" s="3" t="s">
        <v>17</v>
      </c>
      <c r="D454" s="3" t="s">
        <v>205</v>
      </c>
      <c r="E454" s="3">
        <v>12</v>
      </c>
      <c r="F454" s="3">
        <v>3</v>
      </c>
      <c r="G454" s="3">
        <f t="shared" si="43"/>
        <v>4</v>
      </c>
      <c r="H454" s="3">
        <v>3186</v>
      </c>
      <c r="I454" s="4">
        <v>2150.8686000000002</v>
      </c>
      <c r="J454" s="4">
        <f t="shared" si="44"/>
        <v>1822.7700000000002</v>
      </c>
      <c r="K454" s="5">
        <v>0</v>
      </c>
      <c r="L454" s="5">
        <f t="shared" si="45"/>
        <v>0</v>
      </c>
      <c r="M454" s="4">
        <f t="shared" si="46"/>
        <v>1822.7700000000002</v>
      </c>
      <c r="N454" s="3"/>
      <c r="O454" s="4">
        <f t="shared" si="48"/>
        <v>1822.7700000000002</v>
      </c>
      <c r="P454" s="6">
        <f t="shared" si="47"/>
        <v>2150.8686000000002</v>
      </c>
    </row>
    <row r="455" spans="1:16" x14ac:dyDescent="0.25">
      <c r="A455" s="2">
        <v>662010220</v>
      </c>
      <c r="B455" s="2" t="s">
        <v>477</v>
      </c>
      <c r="C455" s="3" t="s">
        <v>17</v>
      </c>
      <c r="D455" s="3" t="s">
        <v>205</v>
      </c>
      <c r="E455" s="3">
        <v>16</v>
      </c>
      <c r="F455" s="3">
        <v>4</v>
      </c>
      <c r="G455" s="3">
        <f t="shared" si="43"/>
        <v>4</v>
      </c>
      <c r="H455" s="3">
        <v>4248</v>
      </c>
      <c r="I455" s="4">
        <v>2867.8248000000003</v>
      </c>
      <c r="J455" s="4">
        <f t="shared" si="44"/>
        <v>2430.3600000000006</v>
      </c>
      <c r="K455" s="5">
        <v>0</v>
      </c>
      <c r="L455" s="5">
        <f t="shared" si="45"/>
        <v>0</v>
      </c>
      <c r="M455" s="4">
        <f t="shared" si="46"/>
        <v>2430.3600000000006</v>
      </c>
      <c r="N455" s="3"/>
      <c r="O455" s="4">
        <f t="shared" si="48"/>
        <v>2430.3600000000006</v>
      </c>
      <c r="P455" s="6">
        <f t="shared" si="47"/>
        <v>2867.8248000000003</v>
      </c>
    </row>
    <row r="456" spans="1:16" x14ac:dyDescent="0.25">
      <c r="A456" s="2">
        <v>662010229</v>
      </c>
      <c r="B456" s="2" t="s">
        <v>478</v>
      </c>
      <c r="C456" s="3" t="s">
        <v>17</v>
      </c>
      <c r="D456" s="3" t="s">
        <v>205</v>
      </c>
      <c r="E456" s="3">
        <v>20</v>
      </c>
      <c r="F456" s="3">
        <v>1</v>
      </c>
      <c r="G456" s="3">
        <f t="shared" si="43"/>
        <v>20</v>
      </c>
      <c r="H456" s="3">
        <v>1062</v>
      </c>
      <c r="I456" s="4">
        <v>716.95620000000008</v>
      </c>
      <c r="J456" s="4">
        <f t="shared" si="44"/>
        <v>607.59000000000015</v>
      </c>
      <c r="K456" s="5">
        <v>0</v>
      </c>
      <c r="L456" s="5">
        <f t="shared" si="45"/>
        <v>0</v>
      </c>
      <c r="M456" s="4">
        <f t="shared" si="46"/>
        <v>607.59000000000015</v>
      </c>
      <c r="N456" s="3"/>
      <c r="O456" s="4">
        <f t="shared" si="48"/>
        <v>607.59000000000015</v>
      </c>
      <c r="P456" s="6">
        <f t="shared" si="47"/>
        <v>716.95620000000008</v>
      </c>
    </row>
    <row r="457" spans="1:16" x14ac:dyDescent="0.25">
      <c r="A457" s="2">
        <v>662010240</v>
      </c>
      <c r="B457" s="2" t="s">
        <v>479</v>
      </c>
      <c r="C457" s="3" t="s">
        <v>17</v>
      </c>
      <c r="D457" s="3" t="s">
        <v>205</v>
      </c>
      <c r="E457" s="3">
        <v>20</v>
      </c>
      <c r="F457" s="3">
        <v>5</v>
      </c>
      <c r="G457" s="3">
        <f t="shared" si="43"/>
        <v>4</v>
      </c>
      <c r="H457" s="3">
        <v>5310</v>
      </c>
      <c r="I457" s="4">
        <v>3584.7810000000004</v>
      </c>
      <c r="J457" s="4">
        <f t="shared" si="44"/>
        <v>3037.9500000000007</v>
      </c>
      <c r="K457" s="5">
        <v>0</v>
      </c>
      <c r="L457" s="5">
        <f t="shared" si="45"/>
        <v>0</v>
      </c>
      <c r="M457" s="4">
        <f t="shared" si="46"/>
        <v>3037.9500000000007</v>
      </c>
      <c r="N457" s="3"/>
      <c r="O457" s="4">
        <f t="shared" si="48"/>
        <v>3037.9500000000007</v>
      </c>
      <c r="P457" s="6">
        <f t="shared" si="47"/>
        <v>3584.7810000000009</v>
      </c>
    </row>
    <row r="458" spans="1:16" x14ac:dyDescent="0.25">
      <c r="A458" s="2">
        <v>662040111</v>
      </c>
      <c r="B458" s="2" t="s">
        <v>480</v>
      </c>
      <c r="C458" s="3" t="s">
        <v>17</v>
      </c>
      <c r="D458" s="3" t="s">
        <v>205</v>
      </c>
      <c r="E458" s="3">
        <v>14</v>
      </c>
      <c r="F458" s="3">
        <v>3.5</v>
      </c>
      <c r="G458" s="3">
        <f t="shared" si="43"/>
        <v>4</v>
      </c>
      <c r="H458" s="3">
        <v>4060</v>
      </c>
      <c r="I458" s="4">
        <v>2729.9439999999995</v>
      </c>
      <c r="J458" s="4">
        <f t="shared" si="44"/>
        <v>2313.5118644067793</v>
      </c>
      <c r="K458" s="5">
        <v>0</v>
      </c>
      <c r="L458" s="5">
        <f t="shared" si="45"/>
        <v>0</v>
      </c>
      <c r="M458" s="4">
        <f t="shared" si="46"/>
        <v>2313.5118644067793</v>
      </c>
      <c r="N458" s="3"/>
      <c r="O458" s="4">
        <f t="shared" si="48"/>
        <v>2313.5118644067793</v>
      </c>
      <c r="P458" s="6">
        <f t="shared" si="47"/>
        <v>2729.9439999999995</v>
      </c>
    </row>
    <row r="459" spans="1:16" x14ac:dyDescent="0.25">
      <c r="A459" s="2">
        <v>662040204</v>
      </c>
      <c r="B459" s="2" t="s">
        <v>481</v>
      </c>
      <c r="C459" s="3" t="s">
        <v>17</v>
      </c>
      <c r="D459" s="3" t="s">
        <v>205</v>
      </c>
      <c r="E459" s="3">
        <v>12</v>
      </c>
      <c r="F459" s="3">
        <v>3</v>
      </c>
      <c r="G459" s="3">
        <f t="shared" si="43"/>
        <v>4</v>
      </c>
      <c r="H459" s="3">
        <v>3480</v>
      </c>
      <c r="I459" s="4">
        <v>2339.9519999999998</v>
      </c>
      <c r="J459" s="4">
        <f t="shared" si="44"/>
        <v>1983.0101694915254</v>
      </c>
      <c r="K459" s="5">
        <v>0</v>
      </c>
      <c r="L459" s="5">
        <f t="shared" si="45"/>
        <v>0</v>
      </c>
      <c r="M459" s="4">
        <f t="shared" si="46"/>
        <v>1983.0101694915254</v>
      </c>
      <c r="N459" s="3"/>
      <c r="O459" s="4">
        <f t="shared" si="48"/>
        <v>1983.0101694915254</v>
      </c>
      <c r="P459" s="6">
        <f t="shared" si="47"/>
        <v>2339.9519999999998</v>
      </c>
    </row>
    <row r="460" spans="1:16" x14ac:dyDescent="0.25">
      <c r="A460" s="2">
        <v>662040220</v>
      </c>
      <c r="B460" s="2" t="s">
        <v>482</v>
      </c>
      <c r="C460" s="3" t="s">
        <v>17</v>
      </c>
      <c r="D460" s="3" t="s">
        <v>205</v>
      </c>
      <c r="E460" s="3">
        <v>16</v>
      </c>
      <c r="F460" s="3">
        <v>4</v>
      </c>
      <c r="G460" s="3">
        <f t="shared" si="43"/>
        <v>4</v>
      </c>
      <c r="H460" s="3">
        <v>4640</v>
      </c>
      <c r="I460" s="4">
        <v>3119.9359999999997</v>
      </c>
      <c r="J460" s="4">
        <f t="shared" si="44"/>
        <v>2644.0135593220339</v>
      </c>
      <c r="K460" s="5">
        <v>0</v>
      </c>
      <c r="L460" s="5">
        <f t="shared" si="45"/>
        <v>0</v>
      </c>
      <c r="M460" s="4">
        <f t="shared" si="46"/>
        <v>2644.0135593220339</v>
      </c>
      <c r="N460" s="3"/>
      <c r="O460" s="4">
        <f t="shared" si="48"/>
        <v>2644.0135593220339</v>
      </c>
      <c r="P460" s="6">
        <f t="shared" si="47"/>
        <v>3119.9359999999997</v>
      </c>
    </row>
    <row r="461" spans="1:16" x14ac:dyDescent="0.25">
      <c r="A461" s="2">
        <v>662040229</v>
      </c>
      <c r="B461" s="2" t="s">
        <v>483</v>
      </c>
      <c r="C461" s="3" t="s">
        <v>17</v>
      </c>
      <c r="D461" s="3" t="s">
        <v>205</v>
      </c>
      <c r="E461" s="3">
        <v>20</v>
      </c>
      <c r="F461" s="3">
        <v>1</v>
      </c>
      <c r="G461" s="3">
        <f t="shared" si="43"/>
        <v>20</v>
      </c>
      <c r="H461" s="3">
        <v>1160</v>
      </c>
      <c r="I461" s="4">
        <v>779.98399999999992</v>
      </c>
      <c r="J461" s="4">
        <f t="shared" si="44"/>
        <v>661.00338983050847</v>
      </c>
      <c r="K461" s="5">
        <v>0</v>
      </c>
      <c r="L461" s="5">
        <f t="shared" si="45"/>
        <v>0</v>
      </c>
      <c r="M461" s="4">
        <f t="shared" si="46"/>
        <v>661.00338983050847</v>
      </c>
      <c r="N461" s="3"/>
      <c r="O461" s="4">
        <f t="shared" si="48"/>
        <v>661.00338983050847</v>
      </c>
      <c r="P461" s="6">
        <f t="shared" si="47"/>
        <v>779.98399999999992</v>
      </c>
    </row>
    <row r="462" spans="1:16" x14ac:dyDescent="0.25">
      <c r="A462" s="2">
        <v>662040240</v>
      </c>
      <c r="B462" s="2" t="s">
        <v>484</v>
      </c>
      <c r="C462" s="3" t="s">
        <v>17</v>
      </c>
      <c r="D462" s="3" t="s">
        <v>205</v>
      </c>
      <c r="E462" s="3">
        <v>20</v>
      </c>
      <c r="F462" s="3">
        <v>5</v>
      </c>
      <c r="G462" s="3">
        <f t="shared" si="43"/>
        <v>4</v>
      </c>
      <c r="H462" s="3">
        <v>5800</v>
      </c>
      <c r="I462" s="4">
        <v>3899.9199999999996</v>
      </c>
      <c r="J462" s="4">
        <f t="shared" si="44"/>
        <v>3305.0169491525421</v>
      </c>
      <c r="K462" s="5">
        <v>0</v>
      </c>
      <c r="L462" s="5">
        <f t="shared" si="45"/>
        <v>0</v>
      </c>
      <c r="M462" s="4">
        <f t="shared" si="46"/>
        <v>3305.0169491525421</v>
      </c>
      <c r="N462" s="3"/>
      <c r="O462" s="4">
        <f t="shared" si="48"/>
        <v>3305.0169491525421</v>
      </c>
      <c r="P462" s="6">
        <f t="shared" si="47"/>
        <v>3899.9199999999996</v>
      </c>
    </row>
    <row r="463" spans="1:16" x14ac:dyDescent="0.25">
      <c r="A463" s="2">
        <v>662240111</v>
      </c>
      <c r="B463" s="2" t="s">
        <v>485</v>
      </c>
      <c r="C463" s="3" t="s">
        <v>17</v>
      </c>
      <c r="D463" s="3" t="s">
        <v>205</v>
      </c>
      <c r="E463" s="3">
        <v>14</v>
      </c>
      <c r="F463" s="3">
        <v>3.5</v>
      </c>
      <c r="G463" s="3">
        <f t="shared" si="43"/>
        <v>4</v>
      </c>
      <c r="H463" s="3">
        <v>3977</v>
      </c>
      <c r="I463" s="4">
        <v>2697.9967999999999</v>
      </c>
      <c r="J463" s="4">
        <f t="shared" si="44"/>
        <v>2286.4379661016951</v>
      </c>
      <c r="K463" s="5">
        <v>0</v>
      </c>
      <c r="L463" s="5">
        <f t="shared" si="45"/>
        <v>0</v>
      </c>
      <c r="M463" s="4">
        <f t="shared" si="46"/>
        <v>2286.4379661016951</v>
      </c>
      <c r="N463" s="3"/>
      <c r="O463" s="4">
        <f t="shared" si="48"/>
        <v>2286.4379661016951</v>
      </c>
      <c r="P463" s="6">
        <f t="shared" si="47"/>
        <v>2697.9967999999999</v>
      </c>
    </row>
    <row r="464" spans="1:16" x14ac:dyDescent="0.25">
      <c r="A464" s="2">
        <v>662240204</v>
      </c>
      <c r="B464" s="2" t="s">
        <v>486</v>
      </c>
      <c r="C464" s="3" t="s">
        <v>17</v>
      </c>
      <c r="D464" s="3" t="s">
        <v>205</v>
      </c>
      <c r="E464" s="3">
        <v>12</v>
      </c>
      <c r="F464" s="3">
        <v>3</v>
      </c>
      <c r="G464" s="3">
        <f t="shared" si="43"/>
        <v>4</v>
      </c>
      <c r="H464" s="3">
        <v>3409</v>
      </c>
      <c r="I464" s="4">
        <v>2312.6655999999998</v>
      </c>
      <c r="J464" s="4">
        <f t="shared" si="44"/>
        <v>1959.8861016949152</v>
      </c>
      <c r="K464" s="5">
        <v>0</v>
      </c>
      <c r="L464" s="5">
        <f t="shared" si="45"/>
        <v>0</v>
      </c>
      <c r="M464" s="4">
        <f t="shared" si="46"/>
        <v>1959.8861016949152</v>
      </c>
      <c r="N464" s="3"/>
      <c r="O464" s="4">
        <f t="shared" si="48"/>
        <v>1959.8861016949152</v>
      </c>
      <c r="P464" s="6">
        <f t="shared" si="47"/>
        <v>2312.6655999999998</v>
      </c>
    </row>
    <row r="465" spans="1:16" x14ac:dyDescent="0.25">
      <c r="A465" s="2">
        <v>662240220</v>
      </c>
      <c r="B465" s="2" t="s">
        <v>487</v>
      </c>
      <c r="C465" s="3" t="s">
        <v>17</v>
      </c>
      <c r="D465" s="3" t="s">
        <v>205</v>
      </c>
      <c r="E465" s="3">
        <v>16</v>
      </c>
      <c r="F465" s="3">
        <v>4</v>
      </c>
      <c r="G465" s="3">
        <f t="shared" si="43"/>
        <v>4</v>
      </c>
      <c r="H465" s="3">
        <v>4545</v>
      </c>
      <c r="I465" s="4">
        <v>3083.328</v>
      </c>
      <c r="J465" s="4">
        <f t="shared" si="44"/>
        <v>2612.9898305084748</v>
      </c>
      <c r="K465" s="5">
        <v>0</v>
      </c>
      <c r="L465" s="5">
        <f t="shared" si="45"/>
        <v>0</v>
      </c>
      <c r="M465" s="4">
        <f t="shared" si="46"/>
        <v>2612.9898305084748</v>
      </c>
      <c r="N465" s="3"/>
      <c r="O465" s="4">
        <f t="shared" si="48"/>
        <v>2612.9898305084748</v>
      </c>
      <c r="P465" s="6">
        <f t="shared" si="47"/>
        <v>3083.328</v>
      </c>
    </row>
    <row r="466" spans="1:16" x14ac:dyDescent="0.25">
      <c r="A466" s="2">
        <v>662240229</v>
      </c>
      <c r="B466" s="2" t="s">
        <v>488</v>
      </c>
      <c r="C466" s="3" t="s">
        <v>17</v>
      </c>
      <c r="D466" s="3" t="s">
        <v>205</v>
      </c>
      <c r="E466" s="3">
        <v>20</v>
      </c>
      <c r="F466" s="3">
        <v>1</v>
      </c>
      <c r="G466" s="3">
        <f t="shared" si="43"/>
        <v>20</v>
      </c>
      <c r="H466" s="3">
        <v>1136</v>
      </c>
      <c r="I466" s="4">
        <v>770.88960000000009</v>
      </c>
      <c r="J466" s="4">
        <f t="shared" si="44"/>
        <v>653.29627118644078</v>
      </c>
      <c r="K466" s="5">
        <v>0</v>
      </c>
      <c r="L466" s="5">
        <f t="shared" si="45"/>
        <v>0</v>
      </c>
      <c r="M466" s="4">
        <f t="shared" si="46"/>
        <v>653.29627118644078</v>
      </c>
      <c r="N466" s="3"/>
      <c r="O466" s="4">
        <f t="shared" si="48"/>
        <v>653.29627118644078</v>
      </c>
      <c r="P466" s="6">
        <f t="shared" si="47"/>
        <v>770.88960000000009</v>
      </c>
    </row>
    <row r="467" spans="1:16" x14ac:dyDescent="0.25">
      <c r="A467" s="2">
        <v>662240240</v>
      </c>
      <c r="B467" s="2" t="s">
        <v>489</v>
      </c>
      <c r="C467" s="3" t="s">
        <v>17</v>
      </c>
      <c r="D467" s="3" t="s">
        <v>205</v>
      </c>
      <c r="E467" s="3">
        <v>20</v>
      </c>
      <c r="F467" s="3">
        <v>5</v>
      </c>
      <c r="G467" s="3">
        <f t="shared" si="43"/>
        <v>4</v>
      </c>
      <c r="H467" s="3">
        <v>5682</v>
      </c>
      <c r="I467" s="4">
        <v>3854.1006000000002</v>
      </c>
      <c r="J467" s="4">
        <f t="shared" si="44"/>
        <v>3266.1869491525426</v>
      </c>
      <c r="K467" s="5">
        <v>0</v>
      </c>
      <c r="L467" s="5">
        <f t="shared" si="45"/>
        <v>0</v>
      </c>
      <c r="M467" s="4">
        <f t="shared" si="46"/>
        <v>3266.1869491525426</v>
      </c>
      <c r="N467" s="3"/>
      <c r="O467" s="4">
        <f t="shared" si="48"/>
        <v>3266.1869491525426</v>
      </c>
      <c r="P467" s="6">
        <f t="shared" si="47"/>
        <v>3854.1006000000002</v>
      </c>
    </row>
    <row r="468" spans="1:16" x14ac:dyDescent="0.25">
      <c r="A468" s="2">
        <v>671230229</v>
      </c>
      <c r="B468" s="2" t="s">
        <v>490</v>
      </c>
      <c r="C468" s="3" t="s">
        <v>17</v>
      </c>
      <c r="D468" s="3" t="s">
        <v>200</v>
      </c>
      <c r="E468" s="3">
        <v>20</v>
      </c>
      <c r="F468" s="3">
        <v>1</v>
      </c>
      <c r="G468" s="3">
        <f t="shared" si="43"/>
        <v>20</v>
      </c>
      <c r="H468" s="3">
        <v>530</v>
      </c>
      <c r="I468" s="4">
        <v>414.99</v>
      </c>
      <c r="J468" s="4">
        <f t="shared" si="44"/>
        <v>351.68644067796612</v>
      </c>
      <c r="K468" s="5">
        <v>0</v>
      </c>
      <c r="L468" s="5">
        <f t="shared" si="45"/>
        <v>0</v>
      </c>
      <c r="M468" s="4">
        <f t="shared" si="46"/>
        <v>351.68644067796612</v>
      </c>
      <c r="N468" s="3"/>
      <c r="O468" s="4">
        <f t="shared" si="48"/>
        <v>351.68644067796612</v>
      </c>
      <c r="P468" s="6">
        <f t="shared" si="47"/>
        <v>414.99</v>
      </c>
    </row>
    <row r="469" spans="1:16" x14ac:dyDescent="0.25">
      <c r="A469" s="2">
        <v>671230240</v>
      </c>
      <c r="B469" s="2" t="s">
        <v>491</v>
      </c>
      <c r="C469" s="3" t="s">
        <v>17</v>
      </c>
      <c r="D469" s="3" t="s">
        <v>200</v>
      </c>
      <c r="E469" s="3">
        <v>20</v>
      </c>
      <c r="F469" s="3">
        <v>5</v>
      </c>
      <c r="G469" s="3">
        <f t="shared" si="43"/>
        <v>4</v>
      </c>
      <c r="H469" s="3">
        <v>2625</v>
      </c>
      <c r="I469" s="4">
        <v>2050.1249999999995</v>
      </c>
      <c r="J469" s="4">
        <f t="shared" si="44"/>
        <v>1737.39406779661</v>
      </c>
      <c r="K469" s="5">
        <v>0</v>
      </c>
      <c r="L469" s="5">
        <f t="shared" si="45"/>
        <v>0</v>
      </c>
      <c r="M469" s="4">
        <f t="shared" si="46"/>
        <v>1737.39406779661</v>
      </c>
      <c r="N469" s="3"/>
      <c r="O469" s="4">
        <f t="shared" si="48"/>
        <v>1737.39406779661</v>
      </c>
      <c r="P469" s="6">
        <f t="shared" si="47"/>
        <v>2050.1249999999995</v>
      </c>
    </row>
    <row r="470" spans="1:16" x14ac:dyDescent="0.25">
      <c r="A470" s="2">
        <v>671230250</v>
      </c>
      <c r="B470" s="2" t="s">
        <v>492</v>
      </c>
      <c r="C470" s="3" t="s">
        <v>22</v>
      </c>
      <c r="D470" s="3" t="s">
        <v>200</v>
      </c>
      <c r="E470" s="3">
        <v>7.5</v>
      </c>
      <c r="F470" s="3">
        <v>7.5</v>
      </c>
      <c r="G470" s="3">
        <f t="shared" si="43"/>
        <v>1</v>
      </c>
      <c r="H470" s="3">
        <v>3938</v>
      </c>
      <c r="I470" s="4">
        <v>3075.1842000000006</v>
      </c>
      <c r="J470" s="4">
        <f t="shared" si="44"/>
        <v>2606.0883050847465</v>
      </c>
      <c r="K470" s="5">
        <v>0</v>
      </c>
      <c r="L470" s="5">
        <f t="shared" si="45"/>
        <v>0</v>
      </c>
      <c r="M470" s="4">
        <f t="shared" si="46"/>
        <v>2606.0883050847465</v>
      </c>
      <c r="N470" s="3"/>
      <c r="O470" s="4">
        <f t="shared" si="48"/>
        <v>2606.0883050847465</v>
      </c>
      <c r="P470" s="6">
        <f t="shared" si="47"/>
        <v>3075.1842000000006</v>
      </c>
    </row>
    <row r="471" spans="1:16" x14ac:dyDescent="0.25">
      <c r="A471" s="2">
        <v>671230253</v>
      </c>
      <c r="B471" s="2" t="s">
        <v>493</v>
      </c>
      <c r="C471" s="3" t="s">
        <v>22</v>
      </c>
      <c r="D471" s="3" t="s">
        <v>200</v>
      </c>
      <c r="E471" s="3">
        <v>15</v>
      </c>
      <c r="F471" s="3">
        <v>15</v>
      </c>
      <c r="G471" s="3">
        <f t="shared" si="43"/>
        <v>1</v>
      </c>
      <c r="H471" s="3">
        <v>7875</v>
      </c>
      <c r="I471" s="4">
        <v>6150.375</v>
      </c>
      <c r="J471" s="4">
        <f t="shared" si="44"/>
        <v>5212.1822033898306</v>
      </c>
      <c r="K471" s="5">
        <v>0</v>
      </c>
      <c r="L471" s="5">
        <f t="shared" si="45"/>
        <v>0</v>
      </c>
      <c r="M471" s="4">
        <f t="shared" si="46"/>
        <v>5212.1822033898306</v>
      </c>
      <c r="N471" s="3"/>
      <c r="O471" s="4">
        <f t="shared" si="48"/>
        <v>5212.1822033898306</v>
      </c>
      <c r="P471" s="6">
        <f t="shared" si="47"/>
        <v>6150.375</v>
      </c>
    </row>
    <row r="472" spans="1:16" x14ac:dyDescent="0.25">
      <c r="A472" s="2">
        <v>671230269</v>
      </c>
      <c r="B472" s="2" t="s">
        <v>494</v>
      </c>
      <c r="C472" s="3" t="s">
        <v>22</v>
      </c>
      <c r="D472" s="3" t="s">
        <v>200</v>
      </c>
      <c r="E472" s="3">
        <v>20</v>
      </c>
      <c r="F472" s="3">
        <v>20</v>
      </c>
      <c r="G472" s="3">
        <f t="shared" si="43"/>
        <v>1</v>
      </c>
      <c r="H472" s="3">
        <v>10500</v>
      </c>
      <c r="I472" s="4">
        <v>8200.4999999999982</v>
      </c>
      <c r="J472" s="4">
        <f t="shared" si="44"/>
        <v>6949.57627118644</v>
      </c>
      <c r="K472" s="5">
        <v>0</v>
      </c>
      <c r="L472" s="5">
        <f t="shared" si="45"/>
        <v>0</v>
      </c>
      <c r="M472" s="4">
        <f t="shared" si="46"/>
        <v>6949.57627118644</v>
      </c>
      <c r="N472" s="3"/>
      <c r="O472" s="4">
        <f t="shared" si="48"/>
        <v>6949.57627118644</v>
      </c>
      <c r="P472" s="6">
        <f t="shared" si="47"/>
        <v>8200.4999999999982</v>
      </c>
    </row>
    <row r="473" spans="1:16" x14ac:dyDescent="0.25">
      <c r="A473" s="2">
        <v>671340136</v>
      </c>
      <c r="B473" s="2" t="s">
        <v>495</v>
      </c>
      <c r="C473" s="3" t="s">
        <v>22</v>
      </c>
      <c r="D473" s="3" t="s">
        <v>200</v>
      </c>
      <c r="E473" s="3">
        <v>18</v>
      </c>
      <c r="F473" s="3">
        <v>18</v>
      </c>
      <c r="G473" s="3">
        <f t="shared" si="43"/>
        <v>1</v>
      </c>
      <c r="H473" s="3">
        <v>9090</v>
      </c>
      <c r="I473" s="4">
        <v>7290.18</v>
      </c>
      <c r="J473" s="4">
        <f t="shared" si="44"/>
        <v>6178.1186440677975</v>
      </c>
      <c r="K473" s="5">
        <v>0</v>
      </c>
      <c r="L473" s="5">
        <f t="shared" si="45"/>
        <v>0</v>
      </c>
      <c r="M473" s="4">
        <f t="shared" si="46"/>
        <v>6178.1186440677975</v>
      </c>
      <c r="N473" s="3"/>
      <c r="O473" s="4">
        <f t="shared" si="48"/>
        <v>6178.1186440677975</v>
      </c>
      <c r="P473" s="6">
        <f t="shared" si="47"/>
        <v>7290.18</v>
      </c>
    </row>
    <row r="474" spans="1:16" x14ac:dyDescent="0.25">
      <c r="A474" s="2">
        <v>671340204</v>
      </c>
      <c r="B474" s="2" t="s">
        <v>496</v>
      </c>
      <c r="C474" s="3" t="s">
        <v>17</v>
      </c>
      <c r="D474" s="3" t="s">
        <v>200</v>
      </c>
      <c r="E474" s="3">
        <v>12</v>
      </c>
      <c r="F474" s="3">
        <v>3</v>
      </c>
      <c r="G474" s="3">
        <f t="shared" si="43"/>
        <v>4</v>
      </c>
      <c r="H474" s="3">
        <v>1575</v>
      </c>
      <c r="I474" s="4">
        <v>1260</v>
      </c>
      <c r="J474" s="4">
        <f t="shared" si="44"/>
        <v>1067.7966101694915</v>
      </c>
      <c r="K474" s="5">
        <v>0</v>
      </c>
      <c r="L474" s="5">
        <f t="shared" si="45"/>
        <v>0</v>
      </c>
      <c r="M474" s="4">
        <f t="shared" si="46"/>
        <v>1067.7966101694915</v>
      </c>
      <c r="N474" s="3"/>
      <c r="O474" s="4">
        <f t="shared" si="48"/>
        <v>1067.7966101694915</v>
      </c>
      <c r="P474" s="6">
        <f t="shared" si="47"/>
        <v>1260</v>
      </c>
    </row>
    <row r="475" spans="1:16" x14ac:dyDescent="0.25">
      <c r="A475" s="2">
        <v>671340229</v>
      </c>
      <c r="B475" s="2" t="s">
        <v>497</v>
      </c>
      <c r="C475" s="3" t="s">
        <v>17</v>
      </c>
      <c r="D475" s="3" t="s">
        <v>200</v>
      </c>
      <c r="E475" s="3">
        <v>20</v>
      </c>
      <c r="F475" s="3">
        <v>1</v>
      </c>
      <c r="G475" s="3">
        <f t="shared" si="43"/>
        <v>20</v>
      </c>
      <c r="H475" s="3">
        <v>530</v>
      </c>
      <c r="I475" s="4">
        <v>429.98899999999998</v>
      </c>
      <c r="J475" s="4">
        <f t="shared" si="44"/>
        <v>364.39745762711863</v>
      </c>
      <c r="K475" s="5">
        <v>0</v>
      </c>
      <c r="L475" s="5">
        <f t="shared" si="45"/>
        <v>0</v>
      </c>
      <c r="M475" s="4">
        <f t="shared" si="46"/>
        <v>364.39745762711863</v>
      </c>
      <c r="N475" s="3"/>
      <c r="O475" s="4">
        <f t="shared" si="48"/>
        <v>364.39745762711863</v>
      </c>
      <c r="P475" s="6">
        <f t="shared" si="47"/>
        <v>429.98899999999998</v>
      </c>
    </row>
    <row r="476" spans="1:16" x14ac:dyDescent="0.25">
      <c r="A476" s="2">
        <v>671340240</v>
      </c>
      <c r="B476" s="2" t="s">
        <v>498</v>
      </c>
      <c r="C476" s="3" t="s">
        <v>17</v>
      </c>
      <c r="D476" s="3" t="s">
        <v>200</v>
      </c>
      <c r="E476" s="3">
        <v>20</v>
      </c>
      <c r="F476" s="3">
        <v>5</v>
      </c>
      <c r="G476" s="3">
        <f t="shared" si="43"/>
        <v>4</v>
      </c>
      <c r="H476" s="3">
        <v>2600</v>
      </c>
      <c r="I476" s="4">
        <v>2075.06</v>
      </c>
      <c r="J476" s="4">
        <f t="shared" si="44"/>
        <v>1758.5254237288136</v>
      </c>
      <c r="K476" s="5">
        <v>0</v>
      </c>
      <c r="L476" s="5">
        <f t="shared" si="45"/>
        <v>0</v>
      </c>
      <c r="M476" s="4">
        <f t="shared" si="46"/>
        <v>1758.5254237288136</v>
      </c>
      <c r="N476" s="3"/>
      <c r="O476" s="4">
        <f t="shared" si="48"/>
        <v>1758.5254237288136</v>
      </c>
      <c r="P476" s="6">
        <f t="shared" si="47"/>
        <v>2075.06</v>
      </c>
    </row>
    <row r="477" spans="1:16" x14ac:dyDescent="0.25">
      <c r="A477" s="2">
        <v>671340241</v>
      </c>
      <c r="B477" s="2" t="s">
        <v>499</v>
      </c>
      <c r="C477" s="3" t="s">
        <v>22</v>
      </c>
      <c r="D477" s="3" t="s">
        <v>200</v>
      </c>
      <c r="E477" s="3">
        <v>10</v>
      </c>
      <c r="F477" s="3">
        <v>10</v>
      </c>
      <c r="G477" s="3">
        <f t="shared" si="43"/>
        <v>1</v>
      </c>
      <c r="H477" s="3">
        <v>5050</v>
      </c>
      <c r="I477" s="4">
        <v>4050.1</v>
      </c>
      <c r="J477" s="4">
        <f t="shared" si="44"/>
        <v>3432.2881355932204</v>
      </c>
      <c r="K477" s="5">
        <v>0</v>
      </c>
      <c r="L477" s="5">
        <f t="shared" si="45"/>
        <v>0</v>
      </c>
      <c r="M477" s="4">
        <f t="shared" si="46"/>
        <v>3432.2881355932204</v>
      </c>
      <c r="N477" s="3"/>
      <c r="O477" s="4">
        <f t="shared" si="48"/>
        <v>3432.2881355932204</v>
      </c>
      <c r="P477" s="6">
        <f t="shared" si="47"/>
        <v>4050.1</v>
      </c>
    </row>
    <row r="478" spans="1:16" x14ac:dyDescent="0.25">
      <c r="A478" s="2">
        <v>671340250</v>
      </c>
      <c r="B478" s="2" t="s">
        <v>500</v>
      </c>
      <c r="C478" s="3" t="s">
        <v>22</v>
      </c>
      <c r="D478" s="3" t="s">
        <v>200</v>
      </c>
      <c r="E478" s="3">
        <v>7.5</v>
      </c>
      <c r="F478" s="3">
        <v>7.5</v>
      </c>
      <c r="G478" s="3">
        <f t="shared" si="43"/>
        <v>1</v>
      </c>
      <c r="H478" s="3">
        <v>3788</v>
      </c>
      <c r="I478" s="4">
        <v>3037.5971999999997</v>
      </c>
      <c r="J478" s="4">
        <f t="shared" si="44"/>
        <v>2574.234915254237</v>
      </c>
      <c r="K478" s="5">
        <v>0</v>
      </c>
      <c r="L478" s="5">
        <f t="shared" si="45"/>
        <v>0</v>
      </c>
      <c r="M478" s="4">
        <f t="shared" si="46"/>
        <v>2574.234915254237</v>
      </c>
      <c r="N478" s="3"/>
      <c r="O478" s="4">
        <f t="shared" si="48"/>
        <v>2574.234915254237</v>
      </c>
      <c r="P478" s="6">
        <f t="shared" si="47"/>
        <v>3037.5971999999992</v>
      </c>
    </row>
    <row r="479" spans="1:16" x14ac:dyDescent="0.25">
      <c r="A479" s="2">
        <v>671340253</v>
      </c>
      <c r="B479" s="2" t="s">
        <v>501</v>
      </c>
      <c r="C479" s="3" t="s">
        <v>22</v>
      </c>
      <c r="D479" s="3" t="s">
        <v>200</v>
      </c>
      <c r="E479" s="3">
        <v>15</v>
      </c>
      <c r="F479" s="3">
        <v>15</v>
      </c>
      <c r="G479" s="3">
        <f t="shared" si="43"/>
        <v>1</v>
      </c>
      <c r="H479" s="3">
        <v>7575</v>
      </c>
      <c r="I479" s="4">
        <v>6075.1500000000005</v>
      </c>
      <c r="J479" s="4">
        <f t="shared" si="44"/>
        <v>5148.4322033898316</v>
      </c>
      <c r="K479" s="5">
        <v>0</v>
      </c>
      <c r="L479" s="5">
        <f t="shared" si="45"/>
        <v>0</v>
      </c>
      <c r="M479" s="4">
        <f t="shared" si="46"/>
        <v>5148.4322033898316</v>
      </c>
      <c r="N479" s="3"/>
      <c r="O479" s="4">
        <f t="shared" si="48"/>
        <v>5148.4322033898316</v>
      </c>
      <c r="P479" s="6">
        <f t="shared" si="47"/>
        <v>6075.1500000000005</v>
      </c>
    </row>
    <row r="480" spans="1:16" x14ac:dyDescent="0.25">
      <c r="A480" s="2">
        <v>671340269</v>
      </c>
      <c r="B480" s="2" t="s">
        <v>502</v>
      </c>
      <c r="C480" s="3" t="s">
        <v>22</v>
      </c>
      <c r="D480" s="3" t="s">
        <v>200</v>
      </c>
      <c r="E480" s="3">
        <v>20</v>
      </c>
      <c r="F480" s="3">
        <v>20</v>
      </c>
      <c r="G480" s="3">
        <f t="shared" si="43"/>
        <v>1</v>
      </c>
      <c r="H480" s="3">
        <v>10100</v>
      </c>
      <c r="I480" s="4">
        <v>8100.2</v>
      </c>
      <c r="J480" s="4">
        <f t="shared" si="44"/>
        <v>6864.5762711864409</v>
      </c>
      <c r="K480" s="5">
        <v>0</v>
      </c>
      <c r="L480" s="5">
        <f t="shared" si="45"/>
        <v>0</v>
      </c>
      <c r="M480" s="4">
        <f t="shared" si="46"/>
        <v>6864.5762711864409</v>
      </c>
      <c r="N480" s="3"/>
      <c r="O480" s="4">
        <f t="shared" si="48"/>
        <v>6864.5762711864409</v>
      </c>
      <c r="P480" s="6">
        <f t="shared" si="47"/>
        <v>8100.2</v>
      </c>
    </row>
    <row r="481" spans="1:16" x14ac:dyDescent="0.25">
      <c r="A481" s="2">
        <v>681230136</v>
      </c>
      <c r="B481" s="2" t="s">
        <v>503</v>
      </c>
      <c r="C481" s="3" t="s">
        <v>22</v>
      </c>
      <c r="D481" s="3" t="s">
        <v>200</v>
      </c>
      <c r="E481" s="3">
        <v>18</v>
      </c>
      <c r="F481" s="3">
        <v>18</v>
      </c>
      <c r="G481" s="3">
        <f t="shared" si="43"/>
        <v>1</v>
      </c>
      <c r="H481" s="3">
        <v>10080</v>
      </c>
      <c r="I481" s="4">
        <v>7740.4320000000007</v>
      </c>
      <c r="J481" s="4">
        <f t="shared" si="44"/>
        <v>6559.688135593221</v>
      </c>
      <c r="K481" s="5">
        <v>0</v>
      </c>
      <c r="L481" s="5">
        <f t="shared" si="45"/>
        <v>0</v>
      </c>
      <c r="M481" s="4">
        <f t="shared" si="46"/>
        <v>6559.688135593221</v>
      </c>
      <c r="N481" s="3"/>
      <c r="O481" s="4">
        <f t="shared" si="48"/>
        <v>6559.688135593221</v>
      </c>
      <c r="P481" s="6">
        <f t="shared" si="47"/>
        <v>7740.4320000000007</v>
      </c>
    </row>
    <row r="482" spans="1:16" x14ac:dyDescent="0.25">
      <c r="A482" s="2">
        <v>681230229</v>
      </c>
      <c r="B482" s="2" t="s">
        <v>504</v>
      </c>
      <c r="C482" s="3" t="s">
        <v>17</v>
      </c>
      <c r="D482" s="3" t="s">
        <v>200</v>
      </c>
      <c r="E482" s="3">
        <v>20</v>
      </c>
      <c r="F482" s="3">
        <v>1</v>
      </c>
      <c r="G482" s="3">
        <f t="shared" si="43"/>
        <v>20</v>
      </c>
      <c r="H482" s="3">
        <v>580</v>
      </c>
      <c r="I482" s="4">
        <v>469.97400000000005</v>
      </c>
      <c r="J482" s="4">
        <f t="shared" si="44"/>
        <v>398.28305084745767</v>
      </c>
      <c r="K482" s="5">
        <v>0</v>
      </c>
      <c r="L482" s="5">
        <f t="shared" si="45"/>
        <v>0</v>
      </c>
      <c r="M482" s="4">
        <f t="shared" si="46"/>
        <v>398.28305084745767</v>
      </c>
      <c r="N482" s="3"/>
      <c r="O482" s="4">
        <f t="shared" si="48"/>
        <v>398.28305084745767</v>
      </c>
      <c r="P482" s="6">
        <f t="shared" si="47"/>
        <v>469.97400000000005</v>
      </c>
    </row>
    <row r="483" spans="1:16" x14ac:dyDescent="0.25">
      <c r="A483" s="2">
        <v>681230240</v>
      </c>
      <c r="B483" s="2" t="s">
        <v>505</v>
      </c>
      <c r="C483" s="3" t="s">
        <v>17</v>
      </c>
      <c r="D483" s="3" t="s">
        <v>200</v>
      </c>
      <c r="E483" s="3">
        <v>20</v>
      </c>
      <c r="F483" s="3">
        <v>5</v>
      </c>
      <c r="G483" s="3">
        <f t="shared" si="43"/>
        <v>4</v>
      </c>
      <c r="H483" s="3">
        <v>2875</v>
      </c>
      <c r="I483" s="4">
        <v>2300</v>
      </c>
      <c r="J483" s="4">
        <f t="shared" si="44"/>
        <v>1949.1525423728815</v>
      </c>
      <c r="K483" s="5">
        <v>0</v>
      </c>
      <c r="L483" s="5">
        <f t="shared" si="45"/>
        <v>0</v>
      </c>
      <c r="M483" s="4">
        <f t="shared" si="46"/>
        <v>1949.1525423728815</v>
      </c>
      <c r="N483" s="3"/>
      <c r="O483" s="4">
        <f t="shared" si="48"/>
        <v>1949.1525423728815</v>
      </c>
      <c r="P483" s="6">
        <f t="shared" si="47"/>
        <v>2300</v>
      </c>
    </row>
    <row r="484" spans="1:16" x14ac:dyDescent="0.25">
      <c r="A484" s="2">
        <v>681230250</v>
      </c>
      <c r="B484" s="2" t="s">
        <v>506</v>
      </c>
      <c r="C484" s="3" t="s">
        <v>22</v>
      </c>
      <c r="D484" s="3" t="s">
        <v>200</v>
      </c>
      <c r="E484" s="3">
        <v>7.5</v>
      </c>
      <c r="F484" s="3">
        <v>7.5</v>
      </c>
      <c r="G484" s="3">
        <f t="shared" si="43"/>
        <v>1</v>
      </c>
      <c r="H484" s="3">
        <v>4200</v>
      </c>
      <c r="I484" s="4">
        <v>3225.1800000000003</v>
      </c>
      <c r="J484" s="4">
        <f t="shared" si="44"/>
        <v>2733.203389830509</v>
      </c>
      <c r="K484" s="5">
        <v>0</v>
      </c>
      <c r="L484" s="5">
        <f t="shared" si="45"/>
        <v>0</v>
      </c>
      <c r="M484" s="4">
        <f t="shared" si="46"/>
        <v>2733.203389830509</v>
      </c>
      <c r="N484" s="3"/>
      <c r="O484" s="4">
        <f t="shared" si="48"/>
        <v>2733.203389830509</v>
      </c>
      <c r="P484" s="6">
        <f t="shared" si="47"/>
        <v>3225.1800000000003</v>
      </c>
    </row>
    <row r="485" spans="1:16" x14ac:dyDescent="0.25">
      <c r="A485" s="2">
        <v>681230253</v>
      </c>
      <c r="B485" s="2" t="s">
        <v>507</v>
      </c>
      <c r="C485" s="3" t="s">
        <v>22</v>
      </c>
      <c r="D485" s="3" t="s">
        <v>200</v>
      </c>
      <c r="E485" s="3">
        <v>15</v>
      </c>
      <c r="F485" s="3">
        <v>15</v>
      </c>
      <c r="G485" s="3">
        <f t="shared" si="43"/>
        <v>1</v>
      </c>
      <c r="H485" s="3">
        <v>8400</v>
      </c>
      <c r="I485" s="4">
        <v>6450.3600000000006</v>
      </c>
      <c r="J485" s="4">
        <f t="shared" si="44"/>
        <v>5466.4067796610179</v>
      </c>
      <c r="K485" s="5">
        <v>0</v>
      </c>
      <c r="L485" s="5">
        <f t="shared" si="45"/>
        <v>0</v>
      </c>
      <c r="M485" s="4">
        <f t="shared" si="46"/>
        <v>5466.4067796610179</v>
      </c>
      <c r="N485" s="3"/>
      <c r="O485" s="4">
        <f t="shared" si="48"/>
        <v>5466.4067796610179</v>
      </c>
      <c r="P485" s="6">
        <f t="shared" si="47"/>
        <v>6450.3600000000006</v>
      </c>
    </row>
    <row r="486" spans="1:16" x14ac:dyDescent="0.25">
      <c r="A486" s="2">
        <v>681230269</v>
      </c>
      <c r="B486" s="2" t="s">
        <v>508</v>
      </c>
      <c r="C486" s="3" t="s">
        <v>22</v>
      </c>
      <c r="D486" s="3" t="s">
        <v>200</v>
      </c>
      <c r="E486" s="3">
        <v>20</v>
      </c>
      <c r="F486" s="3">
        <v>20</v>
      </c>
      <c r="G486" s="3">
        <f t="shared" si="43"/>
        <v>1</v>
      </c>
      <c r="H486" s="3">
        <v>11200</v>
      </c>
      <c r="I486" s="4">
        <v>8600.4800000000014</v>
      </c>
      <c r="J486" s="4">
        <f t="shared" si="44"/>
        <v>7288.5423728813576</v>
      </c>
      <c r="K486" s="5">
        <v>0</v>
      </c>
      <c r="L486" s="5">
        <f t="shared" si="45"/>
        <v>0</v>
      </c>
      <c r="M486" s="4">
        <f t="shared" si="46"/>
        <v>7288.5423728813576</v>
      </c>
      <c r="N486" s="3"/>
      <c r="O486" s="4">
        <f t="shared" si="48"/>
        <v>7288.5423728813576</v>
      </c>
      <c r="P486" s="6">
        <f t="shared" si="47"/>
        <v>8600.4800000000014</v>
      </c>
    </row>
    <row r="487" spans="1:16" x14ac:dyDescent="0.25">
      <c r="A487" s="2">
        <v>681240136</v>
      </c>
      <c r="B487" s="2" t="s">
        <v>509</v>
      </c>
      <c r="C487" s="3" t="s">
        <v>22</v>
      </c>
      <c r="D487" s="3" t="s">
        <v>200</v>
      </c>
      <c r="E487" s="3">
        <v>18</v>
      </c>
      <c r="F487" s="3">
        <v>18</v>
      </c>
      <c r="G487" s="3">
        <f t="shared" si="43"/>
        <v>1</v>
      </c>
      <c r="H487" s="3">
        <v>11340</v>
      </c>
      <c r="I487" s="4">
        <v>8820.2520000000004</v>
      </c>
      <c r="J487" s="4">
        <f t="shared" si="44"/>
        <v>7474.7898305084755</v>
      </c>
      <c r="K487" s="5">
        <v>0</v>
      </c>
      <c r="L487" s="5">
        <f t="shared" si="45"/>
        <v>0</v>
      </c>
      <c r="M487" s="4">
        <f t="shared" si="46"/>
        <v>7474.7898305084755</v>
      </c>
      <c r="N487" s="3"/>
      <c r="O487" s="4">
        <f t="shared" si="48"/>
        <v>7474.7898305084755</v>
      </c>
      <c r="P487" s="6">
        <f t="shared" si="47"/>
        <v>8820.2520000000004</v>
      </c>
    </row>
    <row r="488" spans="1:16" x14ac:dyDescent="0.25">
      <c r="A488" s="2">
        <v>681240229</v>
      </c>
      <c r="B488" s="2" t="s">
        <v>510</v>
      </c>
      <c r="C488" s="3" t="s">
        <v>17</v>
      </c>
      <c r="D488" s="3" t="s">
        <v>200</v>
      </c>
      <c r="E488" s="3">
        <v>20</v>
      </c>
      <c r="F488" s="3">
        <v>1</v>
      </c>
      <c r="G488" s="3">
        <f t="shared" si="43"/>
        <v>20</v>
      </c>
      <c r="H488" s="3">
        <v>650</v>
      </c>
      <c r="I488" s="4">
        <v>509.98999999999995</v>
      </c>
      <c r="J488" s="4">
        <f t="shared" si="44"/>
        <v>432.19491525423729</v>
      </c>
      <c r="K488" s="5">
        <v>0</v>
      </c>
      <c r="L488" s="5">
        <f t="shared" si="45"/>
        <v>0</v>
      </c>
      <c r="M488" s="4">
        <f t="shared" si="46"/>
        <v>432.19491525423729</v>
      </c>
      <c r="N488" s="3"/>
      <c r="O488" s="4">
        <f t="shared" si="48"/>
        <v>432.19491525423729</v>
      </c>
      <c r="P488" s="6">
        <f t="shared" si="47"/>
        <v>509.98999999999995</v>
      </c>
    </row>
    <row r="489" spans="1:16" x14ac:dyDescent="0.25">
      <c r="A489" s="2">
        <v>681240240</v>
      </c>
      <c r="B489" s="2" t="s">
        <v>511</v>
      </c>
      <c r="C489" s="3" t="s">
        <v>17</v>
      </c>
      <c r="D489" s="3" t="s">
        <v>200</v>
      </c>
      <c r="E489" s="3">
        <v>20</v>
      </c>
      <c r="F489" s="3">
        <v>5</v>
      </c>
      <c r="G489" s="3">
        <f t="shared" si="43"/>
        <v>4</v>
      </c>
      <c r="H489" s="3">
        <v>3250</v>
      </c>
      <c r="I489" s="4">
        <v>2499.9</v>
      </c>
      <c r="J489" s="4">
        <f t="shared" si="44"/>
        <v>2118.5593220338983</v>
      </c>
      <c r="K489" s="5">
        <v>0</v>
      </c>
      <c r="L489" s="5">
        <f t="shared" si="45"/>
        <v>0</v>
      </c>
      <c r="M489" s="4">
        <f t="shared" si="46"/>
        <v>2118.5593220338983</v>
      </c>
      <c r="N489" s="3"/>
      <c r="O489" s="4">
        <f t="shared" si="48"/>
        <v>2118.5593220338983</v>
      </c>
      <c r="P489" s="6">
        <f t="shared" si="47"/>
        <v>2499.8999999999996</v>
      </c>
    </row>
    <row r="490" spans="1:16" x14ac:dyDescent="0.25">
      <c r="A490" s="2">
        <v>681240250</v>
      </c>
      <c r="B490" s="2" t="s">
        <v>512</v>
      </c>
      <c r="C490" s="3" t="s">
        <v>22</v>
      </c>
      <c r="D490" s="3" t="s">
        <v>200</v>
      </c>
      <c r="E490" s="3">
        <v>7.5</v>
      </c>
      <c r="F490" s="3">
        <v>7.5</v>
      </c>
      <c r="G490" s="3">
        <f t="shared" si="43"/>
        <v>1</v>
      </c>
      <c r="H490" s="3">
        <v>4725</v>
      </c>
      <c r="I490" s="4">
        <v>3675.105</v>
      </c>
      <c r="J490" s="4">
        <f t="shared" si="44"/>
        <v>3114.4957627118647</v>
      </c>
      <c r="K490" s="5">
        <v>0</v>
      </c>
      <c r="L490" s="5">
        <f t="shared" si="45"/>
        <v>0</v>
      </c>
      <c r="M490" s="4">
        <f t="shared" si="46"/>
        <v>3114.4957627118647</v>
      </c>
      <c r="N490" s="3"/>
      <c r="O490" s="4">
        <f t="shared" si="48"/>
        <v>3114.4957627118647</v>
      </c>
      <c r="P490" s="6">
        <f t="shared" si="47"/>
        <v>3675.105</v>
      </c>
    </row>
    <row r="491" spans="1:16" x14ac:dyDescent="0.25">
      <c r="A491" s="2">
        <v>681240253</v>
      </c>
      <c r="B491" s="2" t="s">
        <v>513</v>
      </c>
      <c r="C491" s="3" t="s">
        <v>22</v>
      </c>
      <c r="D491" s="3" t="s">
        <v>200</v>
      </c>
      <c r="E491" s="3">
        <v>15</v>
      </c>
      <c r="F491" s="3">
        <v>15</v>
      </c>
      <c r="G491" s="3">
        <f t="shared" si="43"/>
        <v>1</v>
      </c>
      <c r="H491" s="3">
        <v>9450</v>
      </c>
      <c r="I491" s="4">
        <v>7350.21</v>
      </c>
      <c r="J491" s="4">
        <f t="shared" si="44"/>
        <v>6228.9915254237294</v>
      </c>
      <c r="K491" s="5">
        <v>0</v>
      </c>
      <c r="L491" s="5">
        <f t="shared" si="45"/>
        <v>0</v>
      </c>
      <c r="M491" s="4">
        <f t="shared" si="46"/>
        <v>6228.9915254237294</v>
      </c>
      <c r="N491" s="3"/>
      <c r="O491" s="4">
        <f t="shared" si="48"/>
        <v>6228.9915254237294</v>
      </c>
      <c r="P491" s="6">
        <f t="shared" si="47"/>
        <v>7350.21</v>
      </c>
    </row>
    <row r="492" spans="1:16" x14ac:dyDescent="0.25">
      <c r="A492" s="2">
        <v>681240269</v>
      </c>
      <c r="B492" s="2" t="s">
        <v>514</v>
      </c>
      <c r="C492" s="3" t="s">
        <v>22</v>
      </c>
      <c r="D492" s="3" t="s">
        <v>200</v>
      </c>
      <c r="E492" s="3">
        <v>20</v>
      </c>
      <c r="F492" s="3">
        <v>20</v>
      </c>
      <c r="G492" s="3">
        <f t="shared" si="43"/>
        <v>1</v>
      </c>
      <c r="H492" s="3">
        <v>12600</v>
      </c>
      <c r="I492" s="4">
        <v>9800.2800000000007</v>
      </c>
      <c r="J492" s="4">
        <f t="shared" si="44"/>
        <v>8305.3220338983065</v>
      </c>
      <c r="K492" s="5">
        <v>0</v>
      </c>
      <c r="L492" s="5">
        <f t="shared" si="45"/>
        <v>0</v>
      </c>
      <c r="M492" s="4">
        <f t="shared" si="46"/>
        <v>8305.3220338983065</v>
      </c>
      <c r="N492" s="3"/>
      <c r="O492" s="4">
        <f t="shared" si="48"/>
        <v>8305.3220338983065</v>
      </c>
      <c r="P492" s="6">
        <f t="shared" si="47"/>
        <v>9800.2800000000007</v>
      </c>
    </row>
    <row r="493" spans="1:16" x14ac:dyDescent="0.25">
      <c r="A493" s="2">
        <v>681340136</v>
      </c>
      <c r="B493" s="2" t="s">
        <v>515</v>
      </c>
      <c r="C493" s="3" t="s">
        <v>22</v>
      </c>
      <c r="D493" s="3" t="s">
        <v>200</v>
      </c>
      <c r="E493" s="3">
        <v>18</v>
      </c>
      <c r="F493" s="3">
        <v>18</v>
      </c>
      <c r="G493" s="3">
        <f t="shared" si="43"/>
        <v>1</v>
      </c>
      <c r="H493" s="3">
        <v>9900</v>
      </c>
      <c r="I493" s="4">
        <v>7559.64</v>
      </c>
      <c r="J493" s="4">
        <f t="shared" si="44"/>
        <v>6406.4745762711873</v>
      </c>
      <c r="K493" s="5">
        <v>0</v>
      </c>
      <c r="L493" s="5">
        <f t="shared" si="45"/>
        <v>0</v>
      </c>
      <c r="M493" s="4">
        <f t="shared" si="46"/>
        <v>6406.4745762711873</v>
      </c>
      <c r="N493" s="3"/>
      <c r="O493" s="4">
        <f t="shared" si="48"/>
        <v>6406.4745762711873</v>
      </c>
      <c r="P493" s="6">
        <f t="shared" si="47"/>
        <v>7559.64</v>
      </c>
    </row>
    <row r="494" spans="1:16" x14ac:dyDescent="0.25">
      <c r="A494" s="2">
        <v>681340204</v>
      </c>
      <c r="B494" s="2" t="s">
        <v>516</v>
      </c>
      <c r="C494" s="3" t="s">
        <v>17</v>
      </c>
      <c r="D494" s="3" t="s">
        <v>200</v>
      </c>
      <c r="E494" s="3">
        <v>12</v>
      </c>
      <c r="F494" s="3">
        <v>3</v>
      </c>
      <c r="G494" s="3">
        <f t="shared" si="43"/>
        <v>4</v>
      </c>
      <c r="H494" s="3">
        <v>1680</v>
      </c>
      <c r="I494" s="4">
        <v>1350.048</v>
      </c>
      <c r="J494" s="4">
        <f t="shared" si="44"/>
        <v>1144.1084745762712</v>
      </c>
      <c r="K494" s="5">
        <v>0</v>
      </c>
      <c r="L494" s="5">
        <f t="shared" si="45"/>
        <v>0</v>
      </c>
      <c r="M494" s="4">
        <f t="shared" si="46"/>
        <v>1144.1084745762712</v>
      </c>
      <c r="N494" s="3"/>
      <c r="O494" s="4">
        <f t="shared" si="48"/>
        <v>1144.1084745762712</v>
      </c>
      <c r="P494" s="6">
        <f t="shared" si="47"/>
        <v>1350.048</v>
      </c>
    </row>
    <row r="495" spans="1:16" x14ac:dyDescent="0.25">
      <c r="A495" s="2">
        <v>681340229</v>
      </c>
      <c r="B495" s="2" t="s">
        <v>517</v>
      </c>
      <c r="C495" s="3" t="s">
        <v>17</v>
      </c>
      <c r="D495" s="3" t="s">
        <v>200</v>
      </c>
      <c r="E495" s="3">
        <v>20</v>
      </c>
      <c r="F495" s="3">
        <v>1</v>
      </c>
      <c r="G495" s="3">
        <f t="shared" si="43"/>
        <v>20</v>
      </c>
      <c r="H495" s="3">
        <v>575</v>
      </c>
      <c r="I495" s="4">
        <v>460</v>
      </c>
      <c r="J495" s="4">
        <f t="shared" si="44"/>
        <v>389.83050847457628</v>
      </c>
      <c r="K495" s="5">
        <v>0</v>
      </c>
      <c r="L495" s="5">
        <f t="shared" si="45"/>
        <v>0</v>
      </c>
      <c r="M495" s="4">
        <f t="shared" si="46"/>
        <v>389.83050847457628</v>
      </c>
      <c r="N495" s="3"/>
      <c r="O495" s="4">
        <f t="shared" si="48"/>
        <v>389.83050847457628</v>
      </c>
      <c r="P495" s="6">
        <f t="shared" si="47"/>
        <v>460</v>
      </c>
    </row>
    <row r="496" spans="1:16" x14ac:dyDescent="0.25">
      <c r="A496" s="2">
        <v>681340240</v>
      </c>
      <c r="B496" s="2" t="s">
        <v>518</v>
      </c>
      <c r="C496" s="3" t="s">
        <v>17</v>
      </c>
      <c r="D496" s="3" t="s">
        <v>200</v>
      </c>
      <c r="E496" s="3">
        <v>20</v>
      </c>
      <c r="F496" s="3">
        <v>5</v>
      </c>
      <c r="G496" s="3">
        <f t="shared" si="43"/>
        <v>4</v>
      </c>
      <c r="H496" s="3">
        <v>2800</v>
      </c>
      <c r="I496" s="4">
        <v>2175.0400000000004</v>
      </c>
      <c r="J496" s="4">
        <f t="shared" si="44"/>
        <v>1843.254237288136</v>
      </c>
      <c r="K496" s="5">
        <v>0</v>
      </c>
      <c r="L496" s="5">
        <f t="shared" si="45"/>
        <v>0</v>
      </c>
      <c r="M496" s="4">
        <f t="shared" si="46"/>
        <v>1843.254237288136</v>
      </c>
      <c r="N496" s="3"/>
      <c r="O496" s="4">
        <f t="shared" si="48"/>
        <v>1843.254237288136</v>
      </c>
      <c r="P496" s="6">
        <f t="shared" si="47"/>
        <v>2175.0400000000004</v>
      </c>
    </row>
    <row r="497" spans="1:16" x14ac:dyDescent="0.25">
      <c r="A497" s="2">
        <v>681340241</v>
      </c>
      <c r="B497" s="2" t="s">
        <v>519</v>
      </c>
      <c r="C497" s="3" t="s">
        <v>22</v>
      </c>
      <c r="D497" s="3" t="s">
        <v>200</v>
      </c>
      <c r="E497" s="3">
        <v>10</v>
      </c>
      <c r="F497" s="3">
        <v>10</v>
      </c>
      <c r="G497" s="3">
        <f t="shared" si="43"/>
        <v>1</v>
      </c>
      <c r="H497" s="3">
        <v>5550</v>
      </c>
      <c r="I497" s="4">
        <v>4200.2400000000007</v>
      </c>
      <c r="J497" s="4">
        <f t="shared" si="44"/>
        <v>3559.5254237288145</v>
      </c>
      <c r="K497" s="5">
        <v>0</v>
      </c>
      <c r="L497" s="5">
        <f t="shared" si="45"/>
        <v>0</v>
      </c>
      <c r="M497" s="4">
        <f t="shared" si="46"/>
        <v>3559.5254237288145</v>
      </c>
      <c r="N497" s="3"/>
      <c r="O497" s="4">
        <f t="shared" si="48"/>
        <v>3559.5254237288145</v>
      </c>
      <c r="P497" s="6">
        <f t="shared" si="47"/>
        <v>4200.2400000000007</v>
      </c>
    </row>
    <row r="498" spans="1:16" x14ac:dyDescent="0.25">
      <c r="A498" s="2">
        <v>681340250</v>
      </c>
      <c r="B498" s="2" t="s">
        <v>520</v>
      </c>
      <c r="C498" s="3" t="s">
        <v>22</v>
      </c>
      <c r="D498" s="3" t="s">
        <v>200</v>
      </c>
      <c r="E498" s="3">
        <v>7.5</v>
      </c>
      <c r="F498" s="3">
        <v>7.5</v>
      </c>
      <c r="G498" s="3">
        <f t="shared" si="43"/>
        <v>1</v>
      </c>
      <c r="H498" s="3">
        <v>4163</v>
      </c>
      <c r="I498" s="4">
        <v>3150.1421000000005</v>
      </c>
      <c r="J498" s="4">
        <f t="shared" si="44"/>
        <v>2669.6119491525428</v>
      </c>
      <c r="K498" s="5">
        <v>0</v>
      </c>
      <c r="L498" s="5">
        <f t="shared" si="45"/>
        <v>0</v>
      </c>
      <c r="M498" s="4">
        <f t="shared" si="46"/>
        <v>2669.6119491525428</v>
      </c>
      <c r="N498" s="3"/>
      <c r="O498" s="4">
        <f t="shared" si="48"/>
        <v>2669.6119491525428</v>
      </c>
      <c r="P498" s="6">
        <f t="shared" si="47"/>
        <v>3150.1421000000005</v>
      </c>
    </row>
    <row r="499" spans="1:16" x14ac:dyDescent="0.25">
      <c r="A499" s="2">
        <v>681340253</v>
      </c>
      <c r="B499" s="2" t="s">
        <v>521</v>
      </c>
      <c r="C499" s="3" t="s">
        <v>22</v>
      </c>
      <c r="D499" s="3" t="s">
        <v>200</v>
      </c>
      <c r="E499" s="3">
        <v>15</v>
      </c>
      <c r="F499" s="3">
        <v>15</v>
      </c>
      <c r="G499" s="3">
        <f t="shared" si="43"/>
        <v>1</v>
      </c>
      <c r="H499" s="3">
        <v>8325</v>
      </c>
      <c r="I499" s="4">
        <v>6300.3600000000006</v>
      </c>
      <c r="J499" s="4">
        <f t="shared" si="44"/>
        <v>5339.2881355932213</v>
      </c>
      <c r="K499" s="5">
        <v>0</v>
      </c>
      <c r="L499" s="5">
        <f t="shared" si="45"/>
        <v>0</v>
      </c>
      <c r="M499" s="4">
        <f t="shared" si="46"/>
        <v>5339.2881355932213</v>
      </c>
      <c r="N499" s="3"/>
      <c r="O499" s="4">
        <f t="shared" si="48"/>
        <v>5339.2881355932213</v>
      </c>
      <c r="P499" s="6">
        <f t="shared" si="47"/>
        <v>6300.3600000000006</v>
      </c>
    </row>
    <row r="500" spans="1:16" x14ac:dyDescent="0.25">
      <c r="A500" s="2">
        <v>681340269</v>
      </c>
      <c r="B500" s="2" t="s">
        <v>522</v>
      </c>
      <c r="C500" s="3" t="s">
        <v>22</v>
      </c>
      <c r="D500" s="3" t="s">
        <v>200</v>
      </c>
      <c r="E500" s="3">
        <v>20</v>
      </c>
      <c r="F500" s="3">
        <v>20</v>
      </c>
      <c r="G500" s="3">
        <f t="shared" si="43"/>
        <v>1</v>
      </c>
      <c r="H500" s="3">
        <v>11000</v>
      </c>
      <c r="I500" s="4">
        <v>8399.6</v>
      </c>
      <c r="J500" s="4">
        <f t="shared" si="44"/>
        <v>7118.3050847457635</v>
      </c>
      <c r="K500" s="5">
        <v>0</v>
      </c>
      <c r="L500" s="5">
        <f t="shared" si="45"/>
        <v>0</v>
      </c>
      <c r="M500" s="4">
        <f t="shared" si="46"/>
        <v>7118.3050847457635</v>
      </c>
      <c r="N500" s="3"/>
      <c r="O500" s="4">
        <f t="shared" si="48"/>
        <v>7118.3050847457635</v>
      </c>
      <c r="P500" s="6">
        <f t="shared" si="47"/>
        <v>8399.6</v>
      </c>
    </row>
    <row r="501" spans="1:16" x14ac:dyDescent="0.25">
      <c r="A501" s="2">
        <v>772230136</v>
      </c>
      <c r="B501" s="2" t="s">
        <v>523</v>
      </c>
      <c r="C501" s="3" t="s">
        <v>22</v>
      </c>
      <c r="D501" s="3" t="s">
        <v>200</v>
      </c>
      <c r="E501" s="3">
        <v>18</v>
      </c>
      <c r="F501" s="3">
        <v>18</v>
      </c>
      <c r="G501" s="3">
        <f t="shared" si="43"/>
        <v>1</v>
      </c>
      <c r="H501" s="3">
        <v>9504</v>
      </c>
      <c r="I501" s="4">
        <v>7603.2</v>
      </c>
      <c r="J501" s="4">
        <f t="shared" si="44"/>
        <v>6443.3898305084749</v>
      </c>
      <c r="K501" s="5">
        <v>0</v>
      </c>
      <c r="L501" s="5">
        <f t="shared" si="45"/>
        <v>0</v>
      </c>
      <c r="M501" s="4">
        <f t="shared" si="46"/>
        <v>6443.3898305084749</v>
      </c>
      <c r="N501" s="3"/>
      <c r="O501" s="4">
        <f t="shared" si="48"/>
        <v>6443.3898305084749</v>
      </c>
      <c r="P501" s="6">
        <f t="shared" si="47"/>
        <v>7603.2</v>
      </c>
    </row>
    <row r="502" spans="1:16" x14ac:dyDescent="0.25">
      <c r="A502" s="2">
        <v>772230229</v>
      </c>
      <c r="B502" s="2" t="s">
        <v>524</v>
      </c>
      <c r="C502" s="3" t="s">
        <v>17</v>
      </c>
      <c r="D502" s="3" t="s">
        <v>200</v>
      </c>
      <c r="E502" s="3">
        <v>20</v>
      </c>
      <c r="F502" s="3">
        <v>1</v>
      </c>
      <c r="G502" s="3">
        <f t="shared" si="43"/>
        <v>20</v>
      </c>
      <c r="H502" s="3">
        <v>550</v>
      </c>
      <c r="I502" s="4">
        <v>440</v>
      </c>
      <c r="J502" s="4">
        <f t="shared" si="44"/>
        <v>372.88135593220341</v>
      </c>
      <c r="K502" s="5">
        <v>0</v>
      </c>
      <c r="L502" s="5">
        <f t="shared" si="45"/>
        <v>0</v>
      </c>
      <c r="M502" s="4">
        <f t="shared" si="46"/>
        <v>372.88135593220341</v>
      </c>
      <c r="N502" s="3"/>
      <c r="O502" s="4">
        <f t="shared" si="48"/>
        <v>372.88135593220341</v>
      </c>
      <c r="P502" s="6">
        <f t="shared" si="47"/>
        <v>440</v>
      </c>
    </row>
    <row r="503" spans="1:16" x14ac:dyDescent="0.25">
      <c r="A503" s="2">
        <v>772230254</v>
      </c>
      <c r="B503" s="2" t="s">
        <v>525</v>
      </c>
      <c r="C503" s="3" t="s">
        <v>22</v>
      </c>
      <c r="D503" s="3" t="s">
        <v>200</v>
      </c>
      <c r="E503" s="3">
        <v>18</v>
      </c>
      <c r="F503" s="3">
        <v>18</v>
      </c>
      <c r="G503" s="3">
        <f t="shared" si="43"/>
        <v>1</v>
      </c>
      <c r="H503" s="3">
        <v>9504</v>
      </c>
      <c r="I503" s="4">
        <v>7603.2</v>
      </c>
      <c r="J503" s="4">
        <f t="shared" si="44"/>
        <v>6443.3898305084749</v>
      </c>
      <c r="K503" s="5">
        <v>0</v>
      </c>
      <c r="L503" s="5">
        <f t="shared" si="45"/>
        <v>0</v>
      </c>
      <c r="M503" s="4">
        <f t="shared" si="46"/>
        <v>6443.3898305084749</v>
      </c>
      <c r="N503" s="3"/>
      <c r="O503" s="4">
        <f t="shared" si="48"/>
        <v>6443.3898305084749</v>
      </c>
      <c r="P503" s="6">
        <f t="shared" si="47"/>
        <v>7603.2</v>
      </c>
    </row>
    <row r="504" spans="1:16" x14ac:dyDescent="0.25">
      <c r="A504" s="2">
        <v>772230283</v>
      </c>
      <c r="B504" s="2" t="s">
        <v>526</v>
      </c>
      <c r="C504" s="3" t="s">
        <v>22</v>
      </c>
      <c r="D504" s="3" t="s">
        <v>200</v>
      </c>
      <c r="E504" s="3">
        <v>16</v>
      </c>
      <c r="F504" s="3">
        <v>16</v>
      </c>
      <c r="G504" s="3">
        <f t="shared" si="43"/>
        <v>1</v>
      </c>
      <c r="H504" s="3">
        <v>8464</v>
      </c>
      <c r="I504" s="4">
        <v>6771.2</v>
      </c>
      <c r="J504" s="4">
        <f t="shared" si="44"/>
        <v>5738.3050847457625</v>
      </c>
      <c r="K504" s="5">
        <v>0</v>
      </c>
      <c r="L504" s="5">
        <f t="shared" si="45"/>
        <v>0</v>
      </c>
      <c r="M504" s="4">
        <f t="shared" si="46"/>
        <v>5738.3050847457625</v>
      </c>
      <c r="N504" s="3"/>
      <c r="O504" s="4">
        <f t="shared" si="48"/>
        <v>5738.3050847457625</v>
      </c>
      <c r="P504" s="6">
        <f t="shared" si="47"/>
        <v>6771.2</v>
      </c>
    </row>
    <row r="505" spans="1:16" x14ac:dyDescent="0.25">
      <c r="A505" s="2">
        <v>772232316</v>
      </c>
      <c r="B505" s="2" t="s">
        <v>527</v>
      </c>
      <c r="C505" s="3" t="s">
        <v>22</v>
      </c>
      <c r="D505" s="3" t="s">
        <v>200</v>
      </c>
      <c r="E505" s="3">
        <v>16</v>
      </c>
      <c r="F505" s="3">
        <v>16</v>
      </c>
      <c r="G505" s="3">
        <f t="shared" si="43"/>
        <v>1</v>
      </c>
      <c r="H505" s="3">
        <v>8464</v>
      </c>
      <c r="I505" s="4">
        <v>6771.2</v>
      </c>
      <c r="J505" s="4">
        <f t="shared" si="44"/>
        <v>5738.3050847457625</v>
      </c>
      <c r="K505" s="5">
        <v>0</v>
      </c>
      <c r="L505" s="5">
        <f t="shared" si="45"/>
        <v>0</v>
      </c>
      <c r="M505" s="4">
        <f t="shared" si="46"/>
        <v>5738.3050847457625</v>
      </c>
      <c r="N505" s="3"/>
      <c r="O505" s="4">
        <f t="shared" si="48"/>
        <v>5738.3050847457625</v>
      </c>
      <c r="P505" s="6">
        <f t="shared" si="47"/>
        <v>6771.2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Rubab, Mohd Umar(मोहम्मद उमर रुबाब)</dc:creator>
  <cp:lastModifiedBy>Rubab, Mohd Umar(मोहम्मद उमर रुबाब)</cp:lastModifiedBy>
  <dcterms:created xsi:type="dcterms:W3CDTF">2026-10-15T11:26:23Z</dcterms:created>
  <dcterms:modified xsi:type="dcterms:W3CDTF">2026-10-15T11:28:46Z</dcterms:modified>
</cp:coreProperties>
</file>